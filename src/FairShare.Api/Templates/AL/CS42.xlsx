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ray/Documents/Alabama Supreme Court Child Support Committee/"/>
    </mc:Choice>
  </mc:AlternateContent>
  <xr:revisionPtr revIDLastSave="0" documentId="13_ncr:1_{E62A92BB-3952-AF42-ADA4-E7B26AE3DA2B}" xr6:coauthVersionLast="47" xr6:coauthVersionMax="47" xr10:uidLastSave="{00000000-0000-0000-0000-000000000000}"/>
  <bookViews>
    <workbookView xWindow="60" yWindow="460" windowWidth="26440" windowHeight="21700" xr2:uid="{74844D2E-B6C2-9746-88B1-C1DC195C4A5E}"/>
  </bookViews>
  <sheets>
    <sheet name="Instructions" sheetId="20" r:id="rId1"/>
    <sheet name="Form CS-42 Worksheet" sheetId="17" r:id="rId2"/>
    <sheet name="AL Realigned Sept 2021" sheetId="2" r:id="rId3"/>
    <sheet name="PDF PRINT Form CS-42 Worksheet" sheetId="19" r:id="rId4"/>
  </sheets>
  <definedNames>
    <definedName name="_xlnm.Print_Area" localSheetId="1">'Form CS-42 Worksheet'!$A$1:$M$33</definedName>
    <definedName name="_xlnm.Print_Area" localSheetId="3">'PDF PRINT Form CS-42 Worksheet'!$A$1:$F$29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7" l="1"/>
  <c r="J17" i="17"/>
  <c r="L17" i="17"/>
  <c r="L19" i="17"/>
  <c r="L20" i="17"/>
  <c r="L21" i="17"/>
  <c r="L22" i="17"/>
  <c r="H18" i="17"/>
  <c r="H23" i="17"/>
  <c r="J23" i="17"/>
  <c r="J18" i="17"/>
  <c r="J27" i="17"/>
  <c r="J28" i="17"/>
  <c r="H27" i="17"/>
  <c r="H24" i="17"/>
  <c r="H28" i="17"/>
  <c r="J24" i="17"/>
  <c r="L16" i="17"/>
  <c r="L15" i="17"/>
  <c r="L14" i="17"/>
  <c r="H25" i="17"/>
  <c r="H30" i="17"/>
  <c r="J25" i="17"/>
  <c r="J30" i="17"/>
  <c r="L18" i="17"/>
</calcChain>
</file>

<file path=xl/sharedStrings.xml><?xml version="1.0" encoding="utf-8"?>
<sst xmlns="http://schemas.openxmlformats.org/spreadsheetml/2006/main" count="160" uniqueCount="74">
  <si>
    <t>Comments, Calculations, or Rebuttals to Guidelines:</t>
  </si>
  <si>
    <t>Plaintiff</t>
  </si>
  <si>
    <t>Defendant</t>
  </si>
  <si>
    <t>Combined</t>
  </si>
  <si>
    <t>Line</t>
  </si>
  <si>
    <t>1a</t>
  </si>
  <si>
    <t>1b</t>
  </si>
  <si>
    <t>Prepared By:</t>
  </si>
  <si>
    <t>Combined Gross Income</t>
  </si>
  <si>
    <t>Case Number</t>
  </si>
  <si>
    <t>Children</t>
  </si>
  <si>
    <t>Date of Birth</t>
  </si>
  <si>
    <t>Date:</t>
  </si>
  <si>
    <t>Item</t>
  </si>
  <si>
    <t>Number of Children</t>
  </si>
  <si>
    <t>MONTHLY GROSS INCOME</t>
  </si>
  <si>
    <r>
      <t xml:space="preserve">MONTHLY ADJUSTED GROSS INCOME
</t>
    </r>
    <r>
      <rPr>
        <sz val="10"/>
        <color theme="1"/>
        <rFont val="Calibri (Body)"/>
      </rPr>
      <t xml:space="preserve">   (Line 1 – Line 1a – Line 1b)</t>
    </r>
  </si>
  <si>
    <r>
      <t xml:space="preserve">PERCENTAGE SHARE OF INCOME
</t>
    </r>
    <r>
      <rPr>
        <sz val="10"/>
        <color theme="1"/>
        <rFont val="Calibri (Body)"/>
      </rPr>
      <t xml:space="preserve">   (Income on Line 2 divided by Combined Income)</t>
    </r>
  </si>
  <si>
    <t xml:space="preserve">    _________________________________________    v.    _________________________________________ 
                                                                                 Plaintiff                                                                                     Defendant</t>
  </si>
  <si>
    <t>$</t>
  </si>
  <si>
    <t>–</t>
  </si>
  <si>
    <t>%</t>
  </si>
  <si>
    <t>+</t>
  </si>
  <si>
    <r>
      <t xml:space="preserve">INCOME AVAILABLE FOR SUPPORT
</t>
    </r>
    <r>
      <rPr>
        <sz val="10"/>
        <color theme="1"/>
        <rFont val="Calibri (Body)"/>
      </rPr>
      <t xml:space="preserve">   (85% of Line 11.  If less than $50, enter $50 minimum obligation.)</t>
    </r>
  </si>
  <si>
    <t>WORK-RELATED CHILD-CARE COSTS (Paid by Either Parent)</t>
  </si>
  <si>
    <t>HEALTH-CARE-COVERAGE COSTS (Paid by Either Parent)</t>
  </si>
  <si>
    <r>
      <t xml:space="preserve">TOTAL CHILD-SUPPORT OBLIGATION
</t>
    </r>
    <r>
      <rPr>
        <sz val="10"/>
        <color theme="1"/>
        <rFont val="Calibri (Body)"/>
      </rPr>
      <t xml:space="preserve">   (Combined Line 4 + Line 5 + Line 6)</t>
    </r>
  </si>
  <si>
    <r>
      <t xml:space="preserve">RECOMMENDED CHILD-SUPPORT ORDER
</t>
    </r>
    <r>
      <rPr>
        <sz val="10"/>
        <color theme="1"/>
        <rFont val="Calibri (Body)"/>
      </rPr>
      <t xml:space="preserve">   (Lesser of Lines 10 and 12)</t>
    </r>
  </si>
  <si>
    <r>
      <t xml:space="preserve">INCOME AVAILABLE AFTER SSR
   </t>
    </r>
    <r>
      <rPr>
        <sz val="10"/>
        <color theme="1"/>
        <rFont val="Calibri (Body)"/>
      </rPr>
      <t>(Line 2 – SSR of $981.  If less than $0, enter $0.)</t>
    </r>
  </si>
  <si>
    <r>
      <t xml:space="preserve">EACH PARENT'S ADJUSTED CHILD-SUPPORT OBLIGATION
</t>
    </r>
    <r>
      <rPr>
        <sz val="10"/>
        <color theme="1"/>
        <rFont val="Calibri (Body)"/>
      </rPr>
      <t xml:space="preserve">   (Line 8 – Line 9.  If less than $0, enter $0.)</t>
    </r>
  </si>
  <si>
    <r>
      <t xml:space="preserve">TOTAL COSTS PAID BY EACH PARENT </t>
    </r>
    <r>
      <rPr>
        <sz val="10"/>
        <color theme="1"/>
        <rFont val="Calibri (Body)"/>
      </rPr>
      <t>(Line 5 + Line 6)</t>
    </r>
  </si>
  <si>
    <t>Instructions for Form CS-42 Child Support Worksheet in Excel</t>
  </si>
  <si>
    <r>
      <rPr>
        <b/>
        <sz val="12"/>
        <color theme="1"/>
        <rFont val="Calibri"/>
        <family val="2"/>
        <scheme val="minor"/>
      </rPr>
      <t>Instructions:</t>
    </r>
    <r>
      <rPr>
        <sz val="12"/>
        <color theme="1"/>
        <rFont val="Calibri"/>
        <family val="2"/>
        <scheme val="minor"/>
      </rPr>
      <t xml:space="preserve">  This tab.</t>
    </r>
  </si>
  <si>
    <r>
      <rPr>
        <b/>
        <sz val="12"/>
        <color theme="1"/>
        <rFont val="Calibri"/>
        <family val="2"/>
        <scheme val="minor"/>
      </rPr>
      <t>AL Realigned Sept 2021:</t>
    </r>
    <r>
      <rPr>
        <sz val="12"/>
        <color theme="1"/>
        <rFont val="Calibri"/>
        <family val="2"/>
        <scheme val="minor"/>
      </rPr>
      <t xml:space="preserve">  The Schedule of Basic Child-Support Obligation values based on adjusted combined monthly gross income and number of children.</t>
    </r>
  </si>
  <si>
    <t>State of Alabama</t>
  </si>
  <si>
    <t>Unified Judicial System</t>
  </si>
  <si>
    <t>COURT OF</t>
  </si>
  <si>
    <t>(Circuit or District)</t>
  </si>
  <si>
    <t>(Name of County)</t>
  </si>
  <si>
    <t>v.</t>
  </si>
  <si>
    <t>Form CS–42     Rev. 5/2022</t>
  </si>
  <si>
    <r>
      <t xml:space="preserve">TOTAL COSTS PAID BY EACH PARENT </t>
    </r>
    <r>
      <rPr>
        <sz val="12"/>
        <color theme="1"/>
        <rFont val="Calibri (Body)"/>
      </rPr>
      <t>(Line 5 + Line 6)</t>
    </r>
  </si>
  <si>
    <r>
      <rPr>
        <b/>
        <sz val="12"/>
        <color theme="1"/>
        <rFont val="Calibri"/>
        <family val="2"/>
        <scheme val="minor"/>
      </rPr>
      <t>Form CS-42 Worksheet:</t>
    </r>
    <r>
      <rPr>
        <sz val="12"/>
        <color theme="1"/>
        <rFont val="Calibri"/>
        <family val="2"/>
        <scheme val="minor"/>
      </rPr>
      <t xml:space="preserve">  Performs the Form CS-42 worksheet calculations for the given inputs (11 yellow-highlighted cells).  Can be printed.</t>
    </r>
  </si>
  <si>
    <r>
      <rPr>
        <b/>
        <sz val="12"/>
        <color theme="1"/>
        <rFont val="Calibri"/>
        <family val="2"/>
        <scheme val="minor"/>
      </rPr>
      <t>PDF PRINT Form CS-42 Worksheet:</t>
    </r>
    <r>
      <rPr>
        <sz val="12"/>
        <color theme="1"/>
        <rFont val="Calibri"/>
        <family val="2"/>
        <scheme val="minor"/>
      </rPr>
      <t xml:space="preserve">  The Form CS-42 Worksheet formatted for printing (to paper or a PDF file) for </t>
    </r>
    <r>
      <rPr>
        <b/>
        <u/>
        <sz val="12"/>
        <color theme="1"/>
        <rFont val="Calibri (Body)"/>
      </rPr>
      <t>manual</t>
    </r>
    <r>
      <rPr>
        <sz val="12"/>
        <color theme="1"/>
        <rFont val="Calibri"/>
        <family val="2"/>
        <scheme val="minor"/>
      </rPr>
      <t xml:space="preserve"> data entry and calculations.</t>
    </r>
  </si>
  <si>
    <t>3.  All other cells will be calculated based on the input values, including the value in Line 4  looked up from the Schedule (in the worksheet AL Realigned Sept 2021).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</si>
  <si>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 These worksheets are protected to keep you from making changes where you shouldn't.  But they are not password-protected, so you can unprotect the worksheets.</t>
    </r>
  </si>
  <si>
    <t>Description of Worksheet Tabs</t>
  </si>
  <si>
    <r>
      <t xml:space="preserve">MONTHLY ADJUSTED GROSS INCOME
</t>
    </r>
    <r>
      <rPr>
        <sz val="12"/>
        <color theme="1"/>
        <rFont val="Calibri (Body)"/>
      </rPr>
      <t xml:space="preserve">   </t>
    </r>
    <r>
      <rPr>
        <sz val="10"/>
        <color theme="1"/>
        <rFont val="Calibri (Body)"/>
      </rPr>
      <t>(Line 1 – Line 1a – Line 1b)</t>
    </r>
  </si>
  <si>
    <r>
      <t xml:space="preserve">PERCENTAGE SHARE OF INCOME
</t>
    </r>
    <r>
      <rPr>
        <sz val="12"/>
        <color theme="1"/>
        <rFont val="Calibri (Body)"/>
      </rPr>
      <t xml:space="preserve">   </t>
    </r>
    <r>
      <rPr>
        <sz val="10"/>
        <color theme="1"/>
        <rFont val="Calibri (Body)"/>
      </rPr>
      <t>(Income on Line 2 divided by Combined Income)</t>
    </r>
  </si>
  <si>
    <r>
      <t xml:space="preserve">TOTAL CHILD-SUPPORT OBLIGATION
</t>
    </r>
    <r>
      <rPr>
        <sz val="12"/>
        <color theme="1"/>
        <rFont val="Calibri (Body)"/>
      </rPr>
      <t xml:space="preserve">   </t>
    </r>
    <r>
      <rPr>
        <sz val="10"/>
        <color theme="1"/>
        <rFont val="Calibri (Body)"/>
      </rPr>
      <t>(Combined Line 4 + Line 5 + Line 6)</t>
    </r>
  </si>
  <si>
    <r>
      <t xml:space="preserve">EACH PARENT'S ADJUSTED CHILD-SUPPORT OBLIGATION
</t>
    </r>
    <r>
      <rPr>
        <sz val="12"/>
        <color theme="1"/>
        <rFont val="Calibri (Body)"/>
      </rPr>
      <t xml:space="preserve">  </t>
    </r>
    <r>
      <rPr>
        <sz val="10"/>
        <color theme="1"/>
        <rFont val="Calibri (Body)"/>
      </rPr>
      <t xml:space="preserve"> (Line 8 – Line 9.  If less than $0, enter $0.)</t>
    </r>
  </si>
  <si>
    <r>
      <t xml:space="preserve">INCOME AVAILABLE AFTER SSR
</t>
    </r>
    <r>
      <rPr>
        <sz val="12"/>
        <color theme="1"/>
        <rFont val="Calibri"/>
        <family val="2"/>
        <scheme val="minor"/>
      </rPr>
      <t xml:space="preserve">  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 (Body)"/>
      </rPr>
      <t>(Line 2 – SSR of $981.  If less than $0, enter $0.)</t>
    </r>
  </si>
  <si>
    <r>
      <t xml:space="preserve">INCOME AVAILABLE FOR SUPPORT
</t>
    </r>
    <r>
      <rPr>
        <sz val="12"/>
        <color theme="1"/>
        <rFont val="Calibri (Body)"/>
      </rPr>
      <t xml:space="preserve">  </t>
    </r>
    <r>
      <rPr>
        <sz val="10"/>
        <color theme="1"/>
        <rFont val="Calibri (Body)"/>
      </rPr>
      <t xml:space="preserve"> (85% of Line 11.  If less than $50, enter $50 minimum obligation.)</t>
    </r>
  </si>
  <si>
    <r>
      <t xml:space="preserve">RECOMMENDED CHILD-SUPPORT ORDER
</t>
    </r>
    <r>
      <rPr>
        <sz val="12"/>
        <color theme="1"/>
        <rFont val="Calibri (Body)"/>
      </rPr>
      <t xml:space="preserve">  </t>
    </r>
    <r>
      <rPr>
        <sz val="10"/>
        <color theme="1"/>
        <rFont val="Calibri (Body)"/>
      </rPr>
      <t xml:space="preserve"> (Lesser of Lines 10 and 12)</t>
    </r>
  </si>
  <si>
    <t xml:space="preserve">IN THE  </t>
  </si>
  <si>
    <t>CHILD SUPPORT GUIDELINES</t>
  </si>
  <si>
    <t xml:space="preserve">     Minus Preexisting Child-Support Payments</t>
  </si>
  <si>
    <t xml:space="preserve">     Minus Preexisting Periodic-Alimony Payments</t>
  </si>
  <si>
    <t xml:space="preserve">     Minus Preexisting Child Support Payments</t>
  </si>
  <si>
    <t xml:space="preserve">     Minus Preexisting Periodic Alimony Payments</t>
  </si>
  <si>
    <r>
      <t xml:space="preserve">BASIC CHILD SUPPORT OBLIGATION
</t>
    </r>
    <r>
      <rPr>
        <sz val="12"/>
        <color theme="1"/>
        <rFont val="Calibri (Body)"/>
      </rPr>
      <t xml:space="preserve">  </t>
    </r>
    <r>
      <rPr>
        <sz val="10"/>
        <color theme="1"/>
        <rFont val="Calibri (Body)"/>
      </rPr>
      <t xml:space="preserve"> (Apply Line 2 Combined to Schedule of Basic Child Support Obligations)</t>
    </r>
  </si>
  <si>
    <r>
      <t xml:space="preserve">EACH PARENT'S CHILD SUPPORT OBLIGATION </t>
    </r>
    <r>
      <rPr>
        <sz val="12"/>
        <color theme="1"/>
        <rFont val="Calibri (Body)"/>
      </rPr>
      <t>(Line 3 x Line 7)</t>
    </r>
  </si>
  <si>
    <t>Self-Support Reserve (SSR)</t>
  </si>
  <si>
    <t>Recommended Child Support Order</t>
  </si>
  <si>
    <t xml:space="preserve"> COUNTY, ALABAMA</t>
  </si>
  <si>
    <r>
      <rPr>
        <b/>
        <sz val="14"/>
        <color theme="1"/>
        <rFont val="Calibri (Body)"/>
      </rPr>
      <t xml:space="preserve">       IN THE ____________________________ COURT OF _____________________________ COUNTY, ALABAMA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 (Body)"/>
      </rPr>
      <t xml:space="preserve">                                              (Circuit or District)                                                                 (Name of County)</t>
    </r>
  </si>
  <si>
    <t xml:space="preserve">Number of Children  </t>
  </si>
  <si>
    <t xml:space="preserve">Date:  </t>
  </si>
  <si>
    <t>State of Alabama
Unified Judicial System
Form CS–42        Rev.  5/2022</t>
  </si>
  <si>
    <r>
      <t xml:space="preserve">BASIC CHILD SUPPORT OBLIGATION
</t>
    </r>
    <r>
      <rPr>
        <sz val="10"/>
        <color theme="1"/>
        <rFont val="Calibri (Body)"/>
      </rPr>
      <t xml:space="preserve">   (Apply Line 2 Combined to Schedule of Basic Child Support Obligations)</t>
    </r>
  </si>
  <si>
    <r>
      <t xml:space="preserve">EACH PARENT'S CHILD SUPPORT OBLIGATION </t>
    </r>
    <r>
      <rPr>
        <sz val="10"/>
        <color theme="1"/>
        <rFont val="Calibri (Body)"/>
      </rPr>
      <t>(Line 3 x Line 7)</t>
    </r>
  </si>
  <si>
    <t>1.  Fill in the text information in the top and bottom yellow-highlighted areas of the Form CS-42 Worksheet.  (This step is optional.  Not needed for the calculations.  Only if printing the form.)</t>
  </si>
  <si>
    <t>2.  Fill in (or change) the numerical values for the eleven (11) yellow-highlighted input cells in middle of the Form CS-42 Worksheet.</t>
  </si>
  <si>
    <t>4.  Print the completed 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</si>
</sst>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_);_(&quot;$&quot;* \(#,##0\);_(@_)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 (Body)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 (Body)"/>
    </font>
    <font>
      <sz val="12"/>
      <color theme="1"/>
      <name val="Calibri (Body)"/>
    </font>
    <font>
      <sz val="14"/>
      <color theme="1"/>
      <name val="Calibri"/>
      <family val="2"/>
      <scheme val="minor"/>
    </font>
    <font>
      <b/>
      <u/>
      <sz val="12"/>
      <color theme="1"/>
      <name val="Calibri (Body)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DA9"/>
        <bgColor indexed="64"/>
      </patternFill>
    </fill>
    <fill>
      <patternFill patternType="solid">
        <fgColor theme="0" tint="-0.34998626667073579"/>
        <bgColor auto="1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Border="1"/>
    <xf numFmtId="0" fontId="0" fillId="0" borderId="3" xfId="0" applyBorder="1"/>
    <xf numFmtId="0" fontId="2" fillId="0" borderId="1" xfId="0" applyFont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0" fillId="0" borderId="28" xfId="0" applyFill="1" applyBorder="1" applyAlignment="1">
      <alignment horizontal="center" vertical="center"/>
    </xf>
    <xf numFmtId="164" fontId="9" fillId="0" borderId="13" xfId="1" applyNumberFormat="1" applyFont="1" applyFill="1" applyBorder="1" applyAlignment="1">
      <alignment horizontal="left" vertical="center"/>
    </xf>
    <xf numFmtId="164" fontId="9" fillId="0" borderId="20" xfId="1" applyNumberFormat="1" applyFont="1" applyBorder="1" applyAlignment="1">
      <alignment horizontal="left" vertical="center"/>
    </xf>
    <xf numFmtId="164" fontId="9" fillId="0" borderId="13" xfId="1" applyNumberFormat="1" applyFont="1" applyFill="1" applyBorder="1" applyAlignment="1">
      <alignment vertical="center"/>
    </xf>
    <xf numFmtId="164" fontId="9" fillId="0" borderId="20" xfId="1" applyNumberFormat="1" applyFont="1" applyBorder="1" applyAlignment="1">
      <alignment vertical="center"/>
    </xf>
    <xf numFmtId="164" fontId="9" fillId="0" borderId="13" xfId="1" applyNumberFormat="1" applyFont="1" applyBorder="1" applyAlignment="1">
      <alignment vertical="center"/>
    </xf>
    <xf numFmtId="9" fontId="9" fillId="0" borderId="13" xfId="2" applyFont="1" applyBorder="1" applyAlignment="1">
      <alignment horizontal="right" vertical="center"/>
    </xf>
    <xf numFmtId="9" fontId="9" fillId="0" borderId="20" xfId="2" applyFont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164" fontId="9" fillId="0" borderId="20" xfId="1" applyNumberFormat="1" applyFont="1" applyFill="1" applyBorder="1" applyAlignment="1">
      <alignment vertical="center"/>
    </xf>
    <xf numFmtId="164" fontId="9" fillId="0" borderId="20" xfId="1" quotePrefix="1" applyNumberFormat="1" applyFont="1" applyFill="1" applyBorder="1" applyAlignment="1">
      <alignment vertical="center"/>
    </xf>
    <xf numFmtId="164" fontId="9" fillId="2" borderId="20" xfId="1" applyNumberFormat="1" applyFont="1" applyFill="1" applyBorder="1" applyAlignment="1">
      <alignment vertical="center"/>
    </xf>
    <xf numFmtId="0" fontId="9" fillId="2" borderId="20" xfId="0" applyFont="1" applyFill="1" applyBorder="1" applyAlignment="1">
      <alignment vertical="center"/>
    </xf>
    <xf numFmtId="164" fontId="9" fillId="0" borderId="13" xfId="0" applyNumberFormat="1" applyFont="1" applyBorder="1" applyAlignment="1">
      <alignment vertical="center"/>
    </xf>
    <xf numFmtId="0" fontId="0" fillId="0" borderId="13" xfId="0" applyBorder="1"/>
    <xf numFmtId="0" fontId="0" fillId="0" borderId="22" xfId="0" applyBorder="1"/>
    <xf numFmtId="0" fontId="0" fillId="0" borderId="17" xfId="0" applyBorder="1" applyAlignment="1">
      <alignment vertical="center"/>
    </xf>
    <xf numFmtId="0" fontId="0" fillId="0" borderId="13" xfId="0" applyBorder="1" applyAlignment="1">
      <alignment horizontal="center"/>
    </xf>
    <xf numFmtId="0" fontId="10" fillId="0" borderId="0" xfId="0" applyFont="1"/>
    <xf numFmtId="0" fontId="2" fillId="0" borderId="29" xfId="0" applyFont="1" applyBorder="1" applyProtection="1"/>
    <xf numFmtId="0" fontId="2" fillId="0" borderId="31" xfId="0" applyFont="1" applyBorder="1" applyProtection="1"/>
    <xf numFmtId="0" fontId="2" fillId="0" borderId="0" xfId="0" applyFont="1" applyProtection="1"/>
    <xf numFmtId="0" fontId="2" fillId="0" borderId="2" xfId="0" applyFont="1" applyBorder="1" applyProtection="1"/>
    <xf numFmtId="0" fontId="2" fillId="0" borderId="3" xfId="0" applyFont="1" applyBorder="1" applyProtection="1"/>
    <xf numFmtId="0" fontId="11" fillId="0" borderId="29" xfId="0" applyFont="1" applyBorder="1" applyProtection="1"/>
    <xf numFmtId="0" fontId="2" fillId="0" borderId="7" xfId="0" applyFont="1" applyBorder="1" applyAlignment="1" applyProtection="1">
      <alignment vertical="top"/>
    </xf>
    <xf numFmtId="0" fontId="2" fillId="0" borderId="8" xfId="0" applyFont="1" applyBorder="1" applyAlignment="1" applyProtection="1">
      <alignment vertical="top"/>
    </xf>
    <xf numFmtId="0" fontId="2" fillId="0" borderId="9" xfId="0" applyFont="1" applyBorder="1" applyAlignment="1" applyProtection="1">
      <alignment vertical="top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center"/>
    </xf>
    <xf numFmtId="0" fontId="2" fillId="0" borderId="35" xfId="0" applyFont="1" applyBorder="1" applyProtection="1"/>
    <xf numFmtId="0" fontId="2" fillId="0" borderId="37" xfId="0" applyFont="1" applyBorder="1" applyProtection="1"/>
    <xf numFmtId="0" fontId="0" fillId="0" borderId="24" xfId="0" applyFont="1" applyBorder="1" applyAlignment="1" applyProtection="1">
      <alignment horizontal="center" vertical="center"/>
    </xf>
    <xf numFmtId="0" fontId="0" fillId="0" borderId="25" xfId="0" applyFont="1" applyBorder="1" applyAlignment="1" applyProtection="1">
      <alignment horizontal="center" vertical="center"/>
    </xf>
    <xf numFmtId="0" fontId="0" fillId="0" borderId="25" xfId="0" applyFont="1" applyBorder="1" applyAlignment="1" applyProtection="1">
      <alignment vertical="center"/>
    </xf>
    <xf numFmtId="0" fontId="9" fillId="0" borderId="43" xfId="0" applyFont="1" applyBorder="1" applyAlignment="1" applyProtection="1">
      <alignment horizontal="center"/>
    </xf>
    <xf numFmtId="0" fontId="9" fillId="0" borderId="18" xfId="0" applyFont="1" applyFill="1" applyBorder="1" applyAlignment="1" applyProtection="1">
      <alignment vertical="center"/>
    </xf>
    <xf numFmtId="0" fontId="0" fillId="0" borderId="39" xfId="0" applyFont="1" applyBorder="1" applyAlignment="1" applyProtection="1">
      <alignment horizontal="center" vertical="center"/>
    </xf>
    <xf numFmtId="0" fontId="0" fillId="0" borderId="19" xfId="0" applyFont="1" applyBorder="1" applyAlignment="1" applyProtection="1">
      <alignment horizontal="center" vertical="center"/>
    </xf>
    <xf numFmtId="0" fontId="0" fillId="0" borderId="8" xfId="0" applyFont="1" applyBorder="1" applyAlignment="1" applyProtection="1">
      <alignment vertical="top"/>
    </xf>
    <xf numFmtId="0" fontId="11" fillId="0" borderId="30" xfId="0" applyFont="1" applyBorder="1" applyAlignment="1" applyProtection="1">
      <alignment horizontal="right"/>
    </xf>
    <xf numFmtId="0" fontId="11" fillId="0" borderId="3" xfId="0" applyFont="1" applyBorder="1" applyProtection="1"/>
    <xf numFmtId="0" fontId="9" fillId="0" borderId="2" xfId="0" applyFont="1" applyBorder="1" applyProtection="1"/>
    <xf numFmtId="0" fontId="9" fillId="0" borderId="0" xfId="0" applyFont="1" applyBorder="1" applyAlignment="1" applyProtection="1">
      <alignment horizontal="center"/>
    </xf>
    <xf numFmtId="0" fontId="9" fillId="0" borderId="3" xfId="0" applyFont="1" applyBorder="1" applyProtection="1"/>
    <xf numFmtId="0" fontId="9" fillId="0" borderId="7" xfId="0" applyFont="1" applyBorder="1" applyAlignment="1" applyProtection="1">
      <alignment horizontal="right" vertical="top"/>
    </xf>
    <xf numFmtId="0" fontId="9" fillId="0" borderId="8" xfId="0" applyFont="1" applyBorder="1" applyAlignment="1" applyProtection="1">
      <alignment vertical="top"/>
    </xf>
    <xf numFmtId="0" fontId="9" fillId="0" borderId="8" xfId="0" applyFont="1" applyBorder="1" applyAlignment="1" applyProtection="1">
      <alignment horizontal="right" vertical="top"/>
    </xf>
    <xf numFmtId="0" fontId="9" fillId="0" borderId="9" xfId="0" applyFont="1" applyBorder="1" applyProtection="1"/>
    <xf numFmtId="0" fontId="0" fillId="0" borderId="8" xfId="0" applyFont="1" applyBorder="1" applyAlignment="1" applyProtection="1">
      <alignment horizontal="center" vertical="top"/>
    </xf>
    <xf numFmtId="165" fontId="9" fillId="0" borderId="47" xfId="1" applyNumberFormat="1" applyFont="1" applyFill="1" applyBorder="1" applyAlignment="1" applyProtection="1">
      <alignment vertical="center"/>
    </xf>
    <xf numFmtId="9" fontId="9" fillId="0" borderId="14" xfId="2" applyFont="1" applyBorder="1" applyAlignment="1" applyProtection="1">
      <alignment vertical="center"/>
    </xf>
    <xf numFmtId="9" fontId="9" fillId="0" borderId="47" xfId="2" applyFont="1" applyBorder="1" applyAlignment="1" applyProtection="1">
      <alignment vertical="center"/>
    </xf>
    <xf numFmtId="0" fontId="9" fillId="0" borderId="14" xfId="0" applyFont="1" applyBorder="1" applyAlignment="1" applyProtection="1">
      <alignment horizontal="left" vertical="center" wrapText="1"/>
    </xf>
    <xf numFmtId="0" fontId="9" fillId="4" borderId="14" xfId="0" applyFont="1" applyFill="1" applyBorder="1" applyAlignment="1" applyProtection="1">
      <alignment vertical="center"/>
    </xf>
    <xf numFmtId="164" fontId="9" fillId="0" borderId="47" xfId="1" applyNumberFormat="1" applyFont="1" applyFill="1" applyBorder="1" applyAlignment="1" applyProtection="1">
      <alignment vertical="center"/>
    </xf>
    <xf numFmtId="0" fontId="0" fillId="0" borderId="50" xfId="0" applyFont="1" applyBorder="1" applyAlignment="1" applyProtection="1">
      <alignment horizontal="center" vertical="center"/>
    </xf>
    <xf numFmtId="37" fontId="9" fillId="3" borderId="15" xfId="1" applyNumberFormat="1" applyFont="1" applyFill="1" applyBorder="1" applyAlignment="1" applyProtection="1">
      <alignment horizontal="right" vertical="center"/>
      <protection locked="0"/>
    </xf>
    <xf numFmtId="9" fontId="9" fillId="0" borderId="15" xfId="2" applyFont="1" applyBorder="1" applyAlignment="1" applyProtection="1">
      <alignment vertical="center"/>
    </xf>
    <xf numFmtId="0" fontId="9" fillId="4" borderId="38" xfId="0" applyFont="1" applyFill="1" applyBorder="1" applyAlignment="1" applyProtection="1">
      <alignment vertical="center"/>
    </xf>
    <xf numFmtId="37" fontId="9" fillId="0" borderId="15" xfId="1" applyNumberFormat="1" applyFont="1" applyFill="1" applyBorder="1" applyAlignment="1" applyProtection="1">
      <alignment horizontal="right" vertical="center"/>
    </xf>
    <xf numFmtId="0" fontId="0" fillId="0" borderId="49" xfId="0" applyFont="1" applyBorder="1" applyAlignment="1" applyProtection="1">
      <alignment horizontal="left" vertical="center"/>
    </xf>
    <xf numFmtId="0" fontId="9" fillId="0" borderId="14" xfId="0" applyFont="1" applyBorder="1" applyAlignment="1" applyProtection="1">
      <alignment horizontal="right" vertical="center"/>
    </xf>
    <xf numFmtId="0" fontId="11" fillId="0" borderId="14" xfId="0" applyFont="1" applyBorder="1" applyAlignment="1" applyProtection="1">
      <alignment horizontal="right" vertical="center"/>
    </xf>
    <xf numFmtId="0" fontId="13" fillId="0" borderId="14" xfId="0" applyFont="1" applyBorder="1" applyAlignment="1" applyProtection="1">
      <alignment horizontal="left" vertical="center"/>
    </xf>
    <xf numFmtId="9" fontId="9" fillId="0" borderId="38" xfId="2" applyFont="1" applyBorder="1" applyAlignment="1" applyProtection="1">
      <alignment vertical="center"/>
    </xf>
    <xf numFmtId="0" fontId="0" fillId="0" borderId="49" xfId="0" applyFont="1" applyBorder="1" applyAlignment="1" applyProtection="1">
      <alignment horizontal="center" vertical="center"/>
    </xf>
    <xf numFmtId="164" fontId="9" fillId="0" borderId="14" xfId="1" applyNumberFormat="1" applyFont="1" applyBorder="1" applyAlignment="1" applyProtection="1">
      <alignment vertical="center"/>
    </xf>
    <xf numFmtId="0" fontId="9" fillId="4" borderId="15" xfId="0" applyFont="1" applyFill="1" applyBorder="1" applyAlignment="1" applyProtection="1">
      <alignment vertical="center"/>
    </xf>
    <xf numFmtId="0" fontId="0" fillId="0" borderId="52" xfId="0" applyFont="1" applyBorder="1" applyAlignment="1" applyProtection="1">
      <alignment horizontal="center" vertical="center"/>
    </xf>
    <xf numFmtId="164" fontId="9" fillId="4" borderId="53" xfId="1" applyNumberFormat="1" applyFont="1" applyFill="1" applyBorder="1" applyAlignment="1" applyProtection="1">
      <alignment vertical="center"/>
    </xf>
    <xf numFmtId="37" fontId="9" fillId="0" borderId="38" xfId="1" applyNumberFormat="1" applyFont="1" applyFill="1" applyBorder="1" applyAlignment="1" applyProtection="1">
      <alignment horizontal="right" vertical="center"/>
    </xf>
    <xf numFmtId="0" fontId="9" fillId="0" borderId="14" xfId="1" applyNumberFormat="1" applyFont="1" applyFill="1" applyBorder="1" applyAlignment="1" applyProtection="1">
      <alignment horizontal="right" vertical="center"/>
    </xf>
    <xf numFmtId="0" fontId="9" fillId="3" borderId="26" xfId="0" applyFont="1" applyFill="1" applyBorder="1" applyAlignment="1" applyProtection="1">
      <alignment horizontal="center" vertical="center"/>
      <protection locked="0"/>
    </xf>
    <xf numFmtId="0" fontId="9" fillId="3" borderId="25" xfId="0" applyFont="1" applyFill="1" applyBorder="1" applyAlignment="1" applyProtection="1">
      <alignment horizontal="center" vertical="center"/>
      <protection locked="0"/>
    </xf>
    <xf numFmtId="0" fontId="9" fillId="3" borderId="28" xfId="0" applyFont="1" applyFill="1" applyBorder="1" applyAlignment="1" applyProtection="1">
      <alignment horizontal="center" vertical="center"/>
      <protection locked="0"/>
    </xf>
    <xf numFmtId="0" fontId="9" fillId="3" borderId="13" xfId="0" applyFont="1" applyFill="1" applyBorder="1" applyAlignment="1" applyProtection="1">
      <alignment horizontal="center"/>
      <protection locked="0"/>
    </xf>
    <xf numFmtId="0" fontId="9" fillId="3" borderId="20" xfId="0" applyFont="1" applyFill="1" applyBorder="1" applyAlignment="1" applyProtection="1">
      <alignment horizontal="center"/>
      <protection locked="0"/>
    </xf>
    <xf numFmtId="0" fontId="0" fillId="0" borderId="25" xfId="0" applyFont="1" applyBorder="1" applyAlignment="1" applyProtection="1">
      <alignment horizontal="right" vertical="center"/>
    </xf>
    <xf numFmtId="0" fontId="0" fillId="0" borderId="54" xfId="0" applyFont="1" applyBorder="1" applyAlignment="1" applyProtection="1">
      <alignment horizontal="center"/>
    </xf>
    <xf numFmtId="0" fontId="0" fillId="0" borderId="55" xfId="0" applyFont="1" applyBorder="1" applyAlignment="1" applyProtection="1">
      <alignment horizontal="center"/>
    </xf>
    <xf numFmtId="14" fontId="9" fillId="3" borderId="13" xfId="0" applyNumberFormat="1" applyFont="1" applyFill="1" applyBorder="1" applyAlignment="1" applyProtection="1">
      <alignment horizontal="center"/>
      <protection locked="0"/>
    </xf>
    <xf numFmtId="0" fontId="0" fillId="0" borderId="56" xfId="0" applyFont="1" applyBorder="1" applyAlignment="1" applyProtection="1">
      <alignment horizontal="center"/>
    </xf>
    <xf numFmtId="0" fontId="0" fillId="0" borderId="41" xfId="0" applyFont="1" applyBorder="1" applyAlignment="1" applyProtection="1">
      <alignment horizontal="left"/>
    </xf>
    <xf numFmtId="0" fontId="0" fillId="0" borderId="33" xfId="0" applyFont="1" applyBorder="1" applyAlignment="1" applyProtection="1">
      <alignment horizontal="left"/>
    </xf>
    <xf numFmtId="0" fontId="0" fillId="0" borderId="42" xfId="0" applyFont="1" applyBorder="1" applyAlignment="1" applyProtection="1">
      <alignment horizontal="left"/>
    </xf>
    <xf numFmtId="0" fontId="0" fillId="0" borderId="16" xfId="0" applyFont="1" applyBorder="1" applyAlignment="1" applyProtection="1">
      <alignment vertical="center"/>
    </xf>
    <xf numFmtId="0" fontId="0" fillId="0" borderId="17" xfId="0" applyFont="1" applyBorder="1" applyAlignment="1" applyProtection="1">
      <alignment vertical="center"/>
    </xf>
    <xf numFmtId="0" fontId="5" fillId="0" borderId="13" xfId="0" applyFont="1" applyBorder="1" applyAlignment="1" applyProtection="1">
      <alignment horizontal="left" vertical="center"/>
    </xf>
    <xf numFmtId="0" fontId="0" fillId="0" borderId="13" xfId="0" applyFont="1" applyBorder="1" applyAlignment="1" applyProtection="1">
      <alignment horizontal="left" vertical="center" wrapText="1"/>
    </xf>
    <xf numFmtId="0" fontId="9" fillId="4" borderId="15" xfId="0" applyFont="1" applyFill="1" applyBorder="1" applyAlignment="1" applyProtection="1">
      <alignment vertical="center"/>
    </xf>
    <xf numFmtId="0" fontId="9" fillId="4" borderId="20" xfId="0" applyFont="1" applyFill="1" applyBorder="1" applyAlignment="1" applyProtection="1">
      <alignment vertical="center"/>
    </xf>
    <xf numFmtId="0" fontId="0" fillId="0" borderId="32" xfId="0" applyFont="1" applyBorder="1" applyAlignment="1" applyProtection="1">
      <alignment horizontal="center" vertical="center"/>
    </xf>
    <xf numFmtId="0" fontId="0" fillId="0" borderId="13" xfId="0" applyFont="1" applyBorder="1" applyAlignment="1" applyProtection="1">
      <alignment horizontal="left" vertical="center"/>
    </xf>
    <xf numFmtId="164" fontId="9" fillId="4" borderId="50" xfId="1" applyNumberFormat="1" applyFont="1" applyFill="1" applyBorder="1" applyAlignment="1" applyProtection="1">
      <alignment vertical="center"/>
    </xf>
    <xf numFmtId="164" fontId="9" fillId="4" borderId="40" xfId="1" applyNumberFormat="1" applyFont="1" applyFill="1" applyBorder="1" applyAlignment="1" applyProtection="1">
      <alignment vertical="center"/>
    </xf>
    <xf numFmtId="0" fontId="9" fillId="3" borderId="46" xfId="0" applyFont="1" applyFill="1" applyBorder="1" applyAlignment="1" applyProtection="1">
      <alignment horizontal="center"/>
      <protection locked="0"/>
    </xf>
    <xf numFmtId="0" fontId="0" fillId="0" borderId="51" xfId="0" applyFont="1" applyBorder="1" applyAlignment="1" applyProtection="1">
      <alignment horizontal="center" vertical="center"/>
    </xf>
    <xf numFmtId="0" fontId="0" fillId="0" borderId="48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/>
    </xf>
    <xf numFmtId="0" fontId="6" fillId="0" borderId="30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</xf>
    <xf numFmtId="0" fontId="6" fillId="0" borderId="35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0" fontId="0" fillId="0" borderId="8" xfId="0" applyFont="1" applyBorder="1" applyAlignment="1" applyProtection="1">
      <alignment horizontal="center" vertical="top"/>
    </xf>
    <xf numFmtId="0" fontId="12" fillId="3" borderId="45" xfId="0" applyFont="1" applyFill="1" applyBorder="1" applyAlignment="1" applyProtection="1">
      <alignment horizontal="center"/>
      <protection locked="0"/>
    </xf>
    <xf numFmtId="0" fontId="11" fillId="0" borderId="0" xfId="0" applyFont="1" applyBorder="1" applyProtection="1"/>
    <xf numFmtId="0" fontId="2" fillId="0" borderId="29" xfId="0" applyFont="1" applyBorder="1" applyAlignment="1" applyProtection="1">
      <alignment horizontal="center"/>
    </xf>
    <xf numFmtId="0" fontId="2" fillId="0" borderId="30" xfId="0" applyFont="1" applyBorder="1" applyAlignment="1" applyProtection="1">
      <alignment horizontal="center"/>
    </xf>
    <xf numFmtId="0" fontId="2" fillId="0" borderId="31" xfId="0" applyFont="1" applyBorder="1" applyAlignment="1" applyProtection="1">
      <alignment horizontal="center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</xf>
    <xf numFmtId="0" fontId="11" fillId="0" borderId="30" xfId="0" applyFont="1" applyBorder="1" applyAlignment="1" applyProtection="1">
      <alignment horizont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/>
    <xf numFmtId="0" fontId="0" fillId="0" borderId="13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3" xfId="0" applyFont="1" applyBorder="1" applyAlignment="1">
      <alignment vertical="center" wrapText="1"/>
    </xf>
    <xf numFmtId="0" fontId="0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3" borderId="19" xfId="0" applyFont="1" applyFill="1" applyBorder="1" applyAlignment="1" applyProtection="1">
      <alignment horizontal="center"/>
      <protection locked="0"/>
    </xf>
    <xf numFmtId="0" fontId="0" fillId="3" borderId="13" xfId="0" applyFont="1" applyFill="1" applyBorder="1" applyAlignment="1" applyProtection="1">
      <alignment horizontal="center"/>
      <protection locked="0"/>
    </xf>
    <xf numFmtId="0" fontId="9" fillId="3" borderId="34" xfId="0" applyFont="1" applyFill="1" applyBorder="1" applyAlignment="1" applyProtection="1">
      <alignment horizontal="left" vertical="center" wrapText="1"/>
      <protection locked="0"/>
    </xf>
    <xf numFmtId="0" fontId="9" fillId="3" borderId="44" xfId="0" applyFont="1" applyFill="1" applyBorder="1" applyAlignment="1" applyProtection="1">
      <alignment horizontal="left" vertical="center" wrapText="1"/>
      <protection locked="0"/>
    </xf>
    <xf numFmtId="0" fontId="9" fillId="3" borderId="17" xfId="0" applyFont="1" applyFill="1" applyBorder="1" applyAlignment="1" applyProtection="1">
      <alignment horizontal="left" vertical="center"/>
      <protection locked="0"/>
    </xf>
    <xf numFmtId="0" fontId="9" fillId="3" borderId="17" xfId="0" applyFont="1" applyFill="1" applyBorder="1" applyAlignment="1" applyProtection="1">
      <alignment horizontal="right" vertical="center"/>
      <protection locked="0"/>
    </xf>
    <xf numFmtId="0" fontId="0" fillId="0" borderId="17" xfId="0" applyFont="1" applyBorder="1" applyAlignment="1" applyProtection="1">
      <alignment horizontal="righ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9E5B-FCF5-2B4F-9BAF-32DB8324AA7E}">
  <dimension ref="A1:A19"/>
  <sheetViews>
    <sheetView tabSelected="1" zoomScale="125" zoomScaleNormal="125" workbookViewId="0">
      <selection activeCell="A21" sqref="A21"/>
    </sheetView>
  </sheetViews>
  <sheetFormatPr baseColWidth="10" defaultRowHeight="16" x14ac:dyDescent="0.2"/>
  <sheetData>
    <row r="1" spans="1:1" x14ac:dyDescent="0.2">
      <c r="A1" s="34" t="s">
        <v>31</v>
      </c>
    </row>
    <row r="3" spans="1:1" x14ac:dyDescent="0.2">
      <c r="A3" t="s">
        <v>71</v>
      </c>
    </row>
    <row r="4" spans="1:1" x14ac:dyDescent="0.2">
      <c r="A4" t="s">
        <v>72</v>
      </c>
    </row>
    <row r="5" spans="1:1" x14ac:dyDescent="0.2">
      <c r="A5" t="s">
        <v>44</v>
      </c>
    </row>
    <row r="6" spans="1:1" x14ac:dyDescent="0.2">
      <c r="A6" t="s">
        <v>73</v>
      </c>
    </row>
    <row r="8" spans="1:1" x14ac:dyDescent="0.2">
      <c r="A8" t="s">
        <v>45</v>
      </c>
    </row>
    <row r="11" spans="1:1" x14ac:dyDescent="0.2">
      <c r="A11" s="34" t="s">
        <v>46</v>
      </c>
    </row>
    <row r="13" spans="1:1" x14ac:dyDescent="0.2">
      <c r="A13" t="s">
        <v>32</v>
      </c>
    </row>
    <row r="15" spans="1:1" x14ac:dyDescent="0.2">
      <c r="A15" t="s">
        <v>42</v>
      </c>
    </row>
    <row r="17" spans="1:1" x14ac:dyDescent="0.2">
      <c r="A17" t="s">
        <v>33</v>
      </c>
    </row>
    <row r="19" spans="1:1" x14ac:dyDescent="0.2">
      <c r="A19" t="s">
        <v>43</v>
      </c>
    </row>
  </sheetData>
  <sheetProtection sheet="1" objects="1" scenarios="1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48CF-B8CA-264D-8B89-C4EC991B59A8}">
  <sheetPr>
    <pageSetUpPr fitToPage="1"/>
  </sheetPr>
  <dimension ref="A1:M36"/>
  <sheetViews>
    <sheetView zoomScale="150" zoomScaleNormal="150" workbookViewId="0">
      <selection activeCell="N1" sqref="N1"/>
    </sheetView>
  </sheetViews>
  <sheetFormatPr baseColWidth="10" defaultRowHeight="16" x14ac:dyDescent="0.2"/>
  <cols>
    <col min="1" max="1" width="5.83203125" style="45" customWidth="1"/>
    <col min="2" max="2" width="17.6640625" style="45" customWidth="1"/>
    <col min="3" max="3" width="14.6640625" style="37" customWidth="1"/>
    <col min="4" max="4" width="14.33203125" style="37" customWidth="1"/>
    <col min="5" max="5" width="4.5" style="37" customWidth="1"/>
    <col min="6" max="6" width="9.33203125" style="37" customWidth="1"/>
    <col min="7" max="7" width="2.83203125" style="37" customWidth="1"/>
    <col min="8" max="8" width="12" style="37" customWidth="1"/>
    <col min="9" max="9" width="4.83203125" style="37" customWidth="1"/>
    <col min="10" max="10" width="12" style="37" customWidth="1"/>
    <col min="11" max="11" width="4.6640625" style="37" customWidth="1"/>
    <col min="12" max="12" width="16" style="37" customWidth="1"/>
    <col min="13" max="13" width="1.83203125" style="37" customWidth="1"/>
    <col min="14" max="16384" width="10.83203125" style="37"/>
  </cols>
  <sheetData>
    <row r="1" spans="1:13" ht="20" customHeight="1" x14ac:dyDescent="0.2">
      <c r="A1" s="35" t="s">
        <v>34</v>
      </c>
      <c r="B1" s="36"/>
      <c r="C1" s="115" t="s">
        <v>55</v>
      </c>
      <c r="D1" s="116"/>
      <c r="E1" s="116"/>
      <c r="F1" s="116"/>
      <c r="G1" s="116"/>
      <c r="H1" s="116"/>
      <c r="I1" s="116"/>
      <c r="J1" s="116"/>
      <c r="K1" s="124" t="s">
        <v>9</v>
      </c>
      <c r="L1" s="125"/>
      <c r="M1" s="126"/>
    </row>
    <row r="2" spans="1:13" ht="20" customHeight="1" x14ac:dyDescent="0.2">
      <c r="A2" s="38" t="s">
        <v>35</v>
      </c>
      <c r="B2" s="39"/>
      <c r="C2" s="117"/>
      <c r="D2" s="118"/>
      <c r="E2" s="118"/>
      <c r="F2" s="118"/>
      <c r="G2" s="118"/>
      <c r="H2" s="118"/>
      <c r="I2" s="118"/>
      <c r="J2" s="118"/>
      <c r="K2" s="127"/>
      <c r="L2" s="128"/>
      <c r="M2" s="129"/>
    </row>
    <row r="3" spans="1:13" ht="20" customHeight="1" thickBot="1" x14ac:dyDescent="0.25">
      <c r="A3" s="46" t="s">
        <v>40</v>
      </c>
      <c r="B3" s="47"/>
      <c r="C3" s="119"/>
      <c r="D3" s="120"/>
      <c r="E3" s="120"/>
      <c r="F3" s="120"/>
      <c r="G3" s="120"/>
      <c r="H3" s="120"/>
      <c r="I3" s="120"/>
      <c r="J3" s="120"/>
      <c r="K3" s="119"/>
      <c r="L3" s="120"/>
      <c r="M3" s="130"/>
    </row>
    <row r="4" spans="1:13" ht="31" customHeight="1" x14ac:dyDescent="0.25">
      <c r="A4" s="40"/>
      <c r="B4" s="56" t="s">
        <v>54</v>
      </c>
      <c r="C4" s="122"/>
      <c r="D4" s="122"/>
      <c r="E4" s="122"/>
      <c r="F4" s="131" t="s">
        <v>36</v>
      </c>
      <c r="G4" s="131"/>
      <c r="H4" s="122"/>
      <c r="I4" s="122"/>
      <c r="J4" s="122"/>
      <c r="K4" s="123" t="s">
        <v>64</v>
      </c>
      <c r="L4" s="123"/>
      <c r="M4" s="57"/>
    </row>
    <row r="5" spans="1:13" ht="29" customHeight="1" thickBot="1" x14ac:dyDescent="0.25">
      <c r="A5" s="41"/>
      <c r="B5" s="42"/>
      <c r="C5" s="121" t="s">
        <v>37</v>
      </c>
      <c r="D5" s="121"/>
      <c r="E5" s="121"/>
      <c r="F5" s="55"/>
      <c r="G5" s="55"/>
      <c r="H5" s="121" t="s">
        <v>38</v>
      </c>
      <c r="I5" s="121"/>
      <c r="J5" s="121"/>
      <c r="K5" s="65"/>
      <c r="L5" s="42"/>
      <c r="M5" s="43"/>
    </row>
    <row r="6" spans="1:13" ht="39" customHeight="1" thickTop="1" x14ac:dyDescent="0.25">
      <c r="A6" s="58"/>
      <c r="B6" s="112"/>
      <c r="C6" s="112"/>
      <c r="D6" s="112"/>
      <c r="E6" s="59" t="s">
        <v>39</v>
      </c>
      <c r="F6" s="112"/>
      <c r="G6" s="112"/>
      <c r="H6" s="112"/>
      <c r="I6" s="112"/>
      <c r="J6" s="112"/>
      <c r="K6" s="112"/>
      <c r="L6" s="112"/>
      <c r="M6" s="60"/>
    </row>
    <row r="7" spans="1:13" ht="29" customHeight="1" thickBot="1" x14ac:dyDescent="0.3">
      <c r="A7" s="61"/>
      <c r="B7" s="62"/>
      <c r="C7" s="63"/>
      <c r="D7" s="63" t="s">
        <v>1</v>
      </c>
      <c r="E7" s="63"/>
      <c r="F7" s="62"/>
      <c r="G7" s="62"/>
      <c r="H7" s="62"/>
      <c r="I7" s="62"/>
      <c r="J7" s="63"/>
      <c r="K7" s="63"/>
      <c r="L7" s="63" t="s">
        <v>2</v>
      </c>
      <c r="M7" s="64"/>
    </row>
    <row r="8" spans="1:13" ht="24" customHeight="1" thickTop="1" x14ac:dyDescent="0.2">
      <c r="A8" s="95" t="s">
        <v>10</v>
      </c>
      <c r="B8" s="96"/>
      <c r="C8" s="96"/>
      <c r="D8" s="96" t="s">
        <v>11</v>
      </c>
      <c r="E8" s="96"/>
      <c r="F8" s="96" t="s">
        <v>10</v>
      </c>
      <c r="G8" s="96"/>
      <c r="H8" s="96"/>
      <c r="I8" s="96"/>
      <c r="J8" s="96"/>
      <c r="K8" s="96" t="s">
        <v>11</v>
      </c>
      <c r="L8" s="96"/>
      <c r="M8" s="98"/>
    </row>
    <row r="9" spans="1:13" ht="20" customHeight="1" x14ac:dyDescent="0.25">
      <c r="A9" s="166"/>
      <c r="B9" s="167"/>
      <c r="C9" s="167"/>
      <c r="D9" s="97"/>
      <c r="E9" s="97"/>
      <c r="F9" s="92"/>
      <c r="G9" s="92"/>
      <c r="H9" s="92"/>
      <c r="I9" s="92"/>
      <c r="J9" s="92"/>
      <c r="K9" s="92"/>
      <c r="L9" s="92"/>
      <c r="M9" s="93"/>
    </row>
    <row r="10" spans="1:13" ht="20" customHeight="1" x14ac:dyDescent="0.25">
      <c r="A10" s="166"/>
      <c r="B10" s="167"/>
      <c r="C10" s="167"/>
      <c r="D10" s="97"/>
      <c r="E10" s="97"/>
      <c r="F10" s="92"/>
      <c r="G10" s="92"/>
      <c r="H10" s="92"/>
      <c r="I10" s="92"/>
      <c r="J10" s="92"/>
      <c r="K10" s="92"/>
      <c r="L10" s="92"/>
      <c r="M10" s="93"/>
    </row>
    <row r="11" spans="1:13" ht="20" customHeight="1" thickBot="1" x14ac:dyDescent="0.3">
      <c r="A11" s="166"/>
      <c r="B11" s="167"/>
      <c r="C11" s="167"/>
      <c r="D11" s="97"/>
      <c r="E11" s="97"/>
      <c r="F11" s="92"/>
      <c r="G11" s="92"/>
      <c r="H11" s="92"/>
      <c r="I11" s="92"/>
      <c r="J11" s="92"/>
      <c r="K11" s="92"/>
      <c r="L11" s="92"/>
      <c r="M11" s="93"/>
    </row>
    <row r="12" spans="1:13" s="44" customFormat="1" ht="25" customHeight="1" thickTop="1" thickBot="1" x14ac:dyDescent="0.25">
      <c r="A12" s="48"/>
      <c r="B12" s="49"/>
      <c r="C12" s="50"/>
      <c r="D12" s="50"/>
      <c r="E12" s="50"/>
      <c r="F12" s="50"/>
      <c r="G12" s="94" t="s">
        <v>66</v>
      </c>
      <c r="H12" s="94"/>
      <c r="I12" s="94"/>
      <c r="J12" s="94"/>
      <c r="K12" s="89">
        <v>1</v>
      </c>
      <c r="L12" s="90"/>
      <c r="M12" s="91"/>
    </row>
    <row r="13" spans="1:13" ht="30" customHeight="1" thickTop="1" x14ac:dyDescent="0.2">
      <c r="A13" s="53" t="s">
        <v>4</v>
      </c>
      <c r="B13" s="108" t="s">
        <v>13</v>
      </c>
      <c r="C13" s="108"/>
      <c r="D13" s="108"/>
      <c r="E13" s="108"/>
      <c r="F13" s="108"/>
      <c r="G13" s="77"/>
      <c r="H13" s="72" t="s">
        <v>1</v>
      </c>
      <c r="I13" s="82"/>
      <c r="J13" s="72" t="s">
        <v>2</v>
      </c>
      <c r="K13" s="85"/>
      <c r="L13" s="113" t="s">
        <v>3</v>
      </c>
      <c r="M13" s="114"/>
    </row>
    <row r="14" spans="1:13" ht="26" customHeight="1" x14ac:dyDescent="0.2">
      <c r="A14" s="54">
        <v>1</v>
      </c>
      <c r="B14" s="109" t="s">
        <v>15</v>
      </c>
      <c r="C14" s="109"/>
      <c r="D14" s="109"/>
      <c r="E14" s="109"/>
      <c r="F14" s="109"/>
      <c r="G14" s="78" t="s">
        <v>19</v>
      </c>
      <c r="H14" s="73">
        <v>1200</v>
      </c>
      <c r="I14" s="88" t="s">
        <v>19</v>
      </c>
      <c r="J14" s="73">
        <v>1000</v>
      </c>
      <c r="K14" s="88" t="s">
        <v>19</v>
      </c>
      <c r="L14" s="87">
        <f>SUM(H14:J14)</f>
        <v>2200</v>
      </c>
      <c r="M14" s="66"/>
    </row>
    <row r="15" spans="1:13" ht="26" customHeight="1" x14ac:dyDescent="0.2">
      <c r="A15" s="54" t="s">
        <v>5</v>
      </c>
      <c r="B15" s="109" t="s">
        <v>58</v>
      </c>
      <c r="C15" s="109"/>
      <c r="D15" s="109"/>
      <c r="E15" s="109"/>
      <c r="F15" s="109"/>
      <c r="G15" s="79" t="s">
        <v>20</v>
      </c>
      <c r="H15" s="73">
        <v>0</v>
      </c>
      <c r="I15" s="79" t="s">
        <v>20</v>
      </c>
      <c r="J15" s="73">
        <v>0</v>
      </c>
      <c r="K15" s="79" t="s">
        <v>20</v>
      </c>
      <c r="L15" s="87">
        <f t="shared" ref="L15:L17" si="0">SUM(H15:J15)</f>
        <v>0</v>
      </c>
      <c r="M15" s="66"/>
    </row>
    <row r="16" spans="1:13" ht="26" customHeight="1" x14ac:dyDescent="0.2">
      <c r="A16" s="54" t="s">
        <v>6</v>
      </c>
      <c r="B16" s="109" t="s">
        <v>59</v>
      </c>
      <c r="C16" s="109"/>
      <c r="D16" s="109"/>
      <c r="E16" s="109"/>
      <c r="F16" s="109"/>
      <c r="G16" s="79" t="s">
        <v>20</v>
      </c>
      <c r="H16" s="73">
        <v>0</v>
      </c>
      <c r="I16" s="79" t="s">
        <v>20</v>
      </c>
      <c r="J16" s="73">
        <v>0</v>
      </c>
      <c r="K16" s="79" t="s">
        <v>20</v>
      </c>
      <c r="L16" s="87">
        <f t="shared" si="0"/>
        <v>0</v>
      </c>
      <c r="M16" s="66"/>
    </row>
    <row r="17" spans="1:13" ht="29" customHeight="1" x14ac:dyDescent="0.2">
      <c r="A17" s="54">
        <v>2</v>
      </c>
      <c r="B17" s="105" t="s">
        <v>47</v>
      </c>
      <c r="C17" s="105"/>
      <c r="D17" s="105"/>
      <c r="E17" s="105"/>
      <c r="F17" s="105"/>
      <c r="G17" s="78" t="s">
        <v>19</v>
      </c>
      <c r="H17" s="73">
        <f>H14-H15-H16</f>
        <v>1200</v>
      </c>
      <c r="I17" s="78" t="s">
        <v>19</v>
      </c>
      <c r="J17" s="73">
        <f>J14-J15-J16</f>
        <v>1000</v>
      </c>
      <c r="K17" s="78" t="s">
        <v>19</v>
      </c>
      <c r="L17" s="87">
        <f t="shared" si="0"/>
        <v>2200</v>
      </c>
      <c r="M17" s="66"/>
    </row>
    <row r="18" spans="1:13" ht="40" customHeight="1" x14ac:dyDescent="0.2">
      <c r="A18" s="54">
        <v>3</v>
      </c>
      <c r="B18" s="105" t="s">
        <v>48</v>
      </c>
      <c r="C18" s="105"/>
      <c r="D18" s="105"/>
      <c r="E18" s="105"/>
      <c r="F18" s="105"/>
      <c r="G18" s="69"/>
      <c r="H18" s="74">
        <f>ROUND(H17/L17,2)</f>
        <v>0.55000000000000004</v>
      </c>
      <c r="I18" s="67"/>
      <c r="J18" s="81">
        <f>1-H18</f>
        <v>0.44999999999999996</v>
      </c>
      <c r="K18" s="67"/>
      <c r="L18" s="81">
        <f>SUM(H18:J18)</f>
        <v>1</v>
      </c>
      <c r="M18" s="68"/>
    </row>
    <row r="19" spans="1:13" ht="39" customHeight="1" x14ac:dyDescent="0.2">
      <c r="A19" s="54">
        <v>4</v>
      </c>
      <c r="B19" s="105" t="s">
        <v>60</v>
      </c>
      <c r="C19" s="105"/>
      <c r="D19" s="105"/>
      <c r="E19" s="105"/>
      <c r="F19" s="105"/>
      <c r="G19" s="75"/>
      <c r="H19" s="75"/>
      <c r="I19" s="70"/>
      <c r="J19" s="75"/>
      <c r="K19" s="78" t="s">
        <v>19</v>
      </c>
      <c r="L19" s="87">
        <f>VLOOKUP(MAX(250,(ROUND(('Form CS-42 Worksheet'!L17-25)/50-0.5,0)+1)*50),'AL Realigned Sept 2021'!A1:G597,'Form CS-42 Worksheet'!K12+1,FALSE)</f>
        <v>414</v>
      </c>
      <c r="M19" s="71"/>
    </row>
    <row r="20" spans="1:13" ht="31" customHeight="1" x14ac:dyDescent="0.2">
      <c r="A20" s="54">
        <v>5</v>
      </c>
      <c r="B20" s="109" t="s">
        <v>24</v>
      </c>
      <c r="C20" s="109"/>
      <c r="D20" s="109"/>
      <c r="E20" s="109"/>
      <c r="F20" s="109"/>
      <c r="G20" s="78" t="s">
        <v>19</v>
      </c>
      <c r="H20" s="73">
        <v>0</v>
      </c>
      <c r="I20" s="78" t="s">
        <v>19</v>
      </c>
      <c r="J20" s="73">
        <v>20</v>
      </c>
      <c r="K20" s="79" t="s">
        <v>22</v>
      </c>
      <c r="L20" s="87">
        <f>H20+J20</f>
        <v>20</v>
      </c>
      <c r="M20" s="66"/>
    </row>
    <row r="21" spans="1:13" ht="29" customHeight="1" x14ac:dyDescent="0.2">
      <c r="A21" s="54">
        <v>6</v>
      </c>
      <c r="B21" s="109" t="s">
        <v>25</v>
      </c>
      <c r="C21" s="109"/>
      <c r="D21" s="109"/>
      <c r="E21" s="109"/>
      <c r="F21" s="109"/>
      <c r="G21" s="78" t="s">
        <v>19</v>
      </c>
      <c r="H21" s="73">
        <v>100</v>
      </c>
      <c r="I21" s="78" t="s">
        <v>19</v>
      </c>
      <c r="J21" s="73">
        <v>0</v>
      </c>
      <c r="K21" s="79" t="s">
        <v>22</v>
      </c>
      <c r="L21" s="87">
        <f>H21+J21</f>
        <v>100</v>
      </c>
      <c r="M21" s="66"/>
    </row>
    <row r="22" spans="1:13" ht="35" customHeight="1" x14ac:dyDescent="0.2">
      <c r="A22" s="54">
        <v>7</v>
      </c>
      <c r="B22" s="105" t="s">
        <v>49</v>
      </c>
      <c r="C22" s="105"/>
      <c r="D22" s="105"/>
      <c r="E22" s="105"/>
      <c r="F22" s="105"/>
      <c r="G22" s="70"/>
      <c r="H22" s="84"/>
      <c r="I22" s="70"/>
      <c r="J22" s="75"/>
      <c r="K22" s="78" t="s">
        <v>19</v>
      </c>
      <c r="L22" s="87">
        <f>SUM(L19:L21)</f>
        <v>534</v>
      </c>
      <c r="M22" s="66"/>
    </row>
    <row r="23" spans="1:13" ht="33" customHeight="1" x14ac:dyDescent="0.2">
      <c r="A23" s="54">
        <v>8</v>
      </c>
      <c r="B23" s="105" t="s">
        <v>61</v>
      </c>
      <c r="C23" s="105"/>
      <c r="D23" s="105"/>
      <c r="E23" s="105"/>
      <c r="F23" s="105"/>
      <c r="G23" s="78" t="s">
        <v>19</v>
      </c>
      <c r="H23" s="76">
        <f>ROUND(H18*L22,0)</f>
        <v>294</v>
      </c>
      <c r="I23" s="78" t="s">
        <v>19</v>
      </c>
      <c r="J23" s="76">
        <f>L22-H23</f>
        <v>240</v>
      </c>
      <c r="K23" s="86"/>
      <c r="L23" s="110"/>
      <c r="M23" s="111"/>
    </row>
    <row r="24" spans="1:13" ht="33" customHeight="1" x14ac:dyDescent="0.2">
      <c r="A24" s="54">
        <v>9</v>
      </c>
      <c r="B24" s="109" t="s">
        <v>41</v>
      </c>
      <c r="C24" s="109"/>
      <c r="D24" s="109"/>
      <c r="E24" s="109"/>
      <c r="F24" s="109"/>
      <c r="G24" s="79" t="s">
        <v>20</v>
      </c>
      <c r="H24" s="76">
        <f>H20+H21</f>
        <v>100</v>
      </c>
      <c r="I24" s="79" t="s">
        <v>20</v>
      </c>
      <c r="J24" s="76">
        <f>J20+J21</f>
        <v>20</v>
      </c>
      <c r="K24" s="86"/>
      <c r="L24" s="106"/>
      <c r="M24" s="107"/>
    </row>
    <row r="25" spans="1:13" ht="38" customHeight="1" x14ac:dyDescent="0.2">
      <c r="A25" s="54">
        <v>10</v>
      </c>
      <c r="B25" s="105" t="s">
        <v>50</v>
      </c>
      <c r="C25" s="109"/>
      <c r="D25" s="109"/>
      <c r="E25" s="109"/>
      <c r="F25" s="109"/>
      <c r="G25" s="78" t="s">
        <v>19</v>
      </c>
      <c r="H25" s="76">
        <f>MAX(H23-H24,0)</f>
        <v>194</v>
      </c>
      <c r="I25" s="78" t="s">
        <v>19</v>
      </c>
      <c r="J25" s="76">
        <f>MAX(J23-J24,0)</f>
        <v>220</v>
      </c>
      <c r="K25" s="86"/>
      <c r="L25" s="106"/>
      <c r="M25" s="107"/>
    </row>
    <row r="26" spans="1:13" ht="39" customHeight="1" x14ac:dyDescent="0.2">
      <c r="A26" s="54"/>
      <c r="B26" s="104" t="s">
        <v>62</v>
      </c>
      <c r="C26" s="104"/>
      <c r="D26" s="104"/>
      <c r="E26" s="104"/>
      <c r="F26" s="104"/>
      <c r="G26" s="80"/>
      <c r="H26" s="76"/>
      <c r="I26" s="83"/>
      <c r="J26" s="76"/>
      <c r="K26" s="86"/>
      <c r="L26" s="106"/>
      <c r="M26" s="107"/>
    </row>
    <row r="27" spans="1:13" ht="43" customHeight="1" x14ac:dyDescent="0.2">
      <c r="A27" s="54">
        <v>11</v>
      </c>
      <c r="B27" s="105" t="s">
        <v>51</v>
      </c>
      <c r="C27" s="105"/>
      <c r="D27" s="105"/>
      <c r="E27" s="105"/>
      <c r="F27" s="105"/>
      <c r="G27" s="78" t="s">
        <v>19</v>
      </c>
      <c r="H27" s="76">
        <f>MAX(H17-981,0)</f>
        <v>219</v>
      </c>
      <c r="I27" s="78" t="s">
        <v>19</v>
      </c>
      <c r="J27" s="76">
        <f>MAX(J17-981,0)</f>
        <v>19</v>
      </c>
      <c r="K27" s="86"/>
      <c r="L27" s="106"/>
      <c r="M27" s="107"/>
    </row>
    <row r="28" spans="1:13" ht="42" customHeight="1" x14ac:dyDescent="0.2">
      <c r="A28" s="54">
        <v>12</v>
      </c>
      <c r="B28" s="105" t="s">
        <v>52</v>
      </c>
      <c r="C28" s="105"/>
      <c r="D28" s="105"/>
      <c r="E28" s="105"/>
      <c r="F28" s="105"/>
      <c r="G28" s="78" t="s">
        <v>19</v>
      </c>
      <c r="H28" s="76">
        <f>MAX(ROUND(0.85*H27,0),50)</f>
        <v>186</v>
      </c>
      <c r="I28" s="78" t="s">
        <v>19</v>
      </c>
      <c r="J28" s="76">
        <f>MAX(ROUND(0.85*J27,0),50)</f>
        <v>50</v>
      </c>
      <c r="K28" s="86"/>
      <c r="L28" s="106"/>
      <c r="M28" s="107"/>
    </row>
    <row r="29" spans="1:13" ht="37" customHeight="1" x14ac:dyDescent="0.2">
      <c r="A29" s="54"/>
      <c r="B29" s="104" t="s">
        <v>63</v>
      </c>
      <c r="C29" s="104"/>
      <c r="D29" s="104"/>
      <c r="E29" s="104"/>
      <c r="F29" s="104"/>
      <c r="G29" s="80"/>
      <c r="H29" s="76"/>
      <c r="I29" s="83"/>
      <c r="J29" s="76"/>
      <c r="K29" s="86"/>
      <c r="L29" s="106"/>
      <c r="M29" s="107"/>
    </row>
    <row r="30" spans="1:13" ht="38" customHeight="1" x14ac:dyDescent="0.2">
      <c r="A30" s="54">
        <v>13</v>
      </c>
      <c r="B30" s="105" t="s">
        <v>53</v>
      </c>
      <c r="C30" s="105"/>
      <c r="D30" s="105"/>
      <c r="E30" s="105"/>
      <c r="F30" s="105"/>
      <c r="G30" s="78" t="s">
        <v>19</v>
      </c>
      <c r="H30" s="76">
        <f>IF(H14=0,0,MIN(H25,H28))</f>
        <v>186</v>
      </c>
      <c r="I30" s="78" t="s">
        <v>19</v>
      </c>
      <c r="J30" s="76">
        <f>IF(J14=0,0,MIN(J25,J28))</f>
        <v>50</v>
      </c>
      <c r="K30" s="86"/>
      <c r="L30" s="106"/>
      <c r="M30" s="107"/>
    </row>
    <row r="31" spans="1:13" ht="30" customHeight="1" x14ac:dyDescent="0.2">
      <c r="A31" s="99" t="s">
        <v>0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1"/>
    </row>
    <row r="32" spans="1:13" ht="41" customHeight="1" x14ac:dyDescent="0.25">
      <c r="A32" s="51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9"/>
    </row>
    <row r="33" spans="1:13" ht="29" customHeight="1" thickBot="1" x14ac:dyDescent="0.25">
      <c r="A33" s="102" t="s">
        <v>7</v>
      </c>
      <c r="B33" s="103"/>
      <c r="C33" s="170"/>
      <c r="D33" s="170"/>
      <c r="E33" s="170"/>
      <c r="F33" s="170"/>
      <c r="G33" s="170"/>
      <c r="H33" s="170"/>
      <c r="I33" s="172" t="s">
        <v>67</v>
      </c>
      <c r="J33" s="172"/>
      <c r="K33" s="171"/>
      <c r="L33" s="171"/>
      <c r="M33" s="52"/>
    </row>
    <row r="34" spans="1:13" ht="33" customHeight="1" x14ac:dyDescent="0.2"/>
    <row r="36" spans="1:13" ht="27" customHeight="1" x14ac:dyDescent="0.2"/>
  </sheetData>
  <sheetProtection sheet="1" objects="1" scenarios="1"/>
  <mergeCells count="63">
    <mergeCell ref="I33:J33"/>
    <mergeCell ref="K4:L4"/>
    <mergeCell ref="K1:M1"/>
    <mergeCell ref="K2:M2"/>
    <mergeCell ref="K3:M3"/>
    <mergeCell ref="F4:G4"/>
    <mergeCell ref="C1:J3"/>
    <mergeCell ref="C5:E5"/>
    <mergeCell ref="H5:J5"/>
    <mergeCell ref="H4:J4"/>
    <mergeCell ref="C4:E4"/>
    <mergeCell ref="B6:D6"/>
    <mergeCell ref="F6:L6"/>
    <mergeCell ref="L13:M13"/>
    <mergeCell ref="F8:J8"/>
    <mergeCell ref="F9:J9"/>
    <mergeCell ref="F10:J10"/>
    <mergeCell ref="L27:M27"/>
    <mergeCell ref="L28:M28"/>
    <mergeCell ref="L29:M29"/>
    <mergeCell ref="L23:M23"/>
    <mergeCell ref="L24:M24"/>
    <mergeCell ref="B19:F19"/>
    <mergeCell ref="L25:M25"/>
    <mergeCell ref="L26:M26"/>
    <mergeCell ref="B20:F20"/>
    <mergeCell ref="B21:F21"/>
    <mergeCell ref="B22:F22"/>
    <mergeCell ref="B23:F23"/>
    <mergeCell ref="B24:F24"/>
    <mergeCell ref="B25:F25"/>
    <mergeCell ref="A31:M31"/>
    <mergeCell ref="C33:H33"/>
    <mergeCell ref="F11:J11"/>
    <mergeCell ref="A33:B33"/>
    <mergeCell ref="B26:F26"/>
    <mergeCell ref="B27:F27"/>
    <mergeCell ref="B28:F28"/>
    <mergeCell ref="B29:F29"/>
    <mergeCell ref="B30:F30"/>
    <mergeCell ref="L30:M30"/>
    <mergeCell ref="B13:F13"/>
    <mergeCell ref="B14:F14"/>
    <mergeCell ref="B15:F15"/>
    <mergeCell ref="B16:F16"/>
    <mergeCell ref="B17:F17"/>
    <mergeCell ref="B18:F18"/>
    <mergeCell ref="K12:M12"/>
    <mergeCell ref="K9:M9"/>
    <mergeCell ref="G12:J12"/>
    <mergeCell ref="K33:L33"/>
    <mergeCell ref="A8:C8"/>
    <mergeCell ref="A9:C9"/>
    <mergeCell ref="A10:C10"/>
    <mergeCell ref="A11:C11"/>
    <mergeCell ref="D8:E8"/>
    <mergeCell ref="D9:E9"/>
    <mergeCell ref="D10:E10"/>
    <mergeCell ref="D11:E11"/>
    <mergeCell ref="K8:M8"/>
    <mergeCell ref="K10:M10"/>
    <mergeCell ref="K11:M11"/>
    <mergeCell ref="B32:M32"/>
  </mergeCells>
  <printOptions horizontalCentered="1" verticalCentered="1"/>
  <pageMargins left="0.5" right="0.5" top="0.5" bottom="0.5" header="0.3" footer="0.3"/>
  <pageSetup scale="74" orientation="portrait" horizontalDpi="0" verticalDpi="0"/>
  <ignoredErrors>
    <ignoredError sqref="H17 J17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2F36-8DE9-024A-A2C4-BDCD790E2A4F}">
  <dimension ref="A1:G597"/>
  <sheetViews>
    <sheetView zoomScale="150" zoomScaleNormal="150" workbookViewId="0"/>
  </sheetViews>
  <sheetFormatPr baseColWidth="10" defaultRowHeight="16" x14ac:dyDescent="0.2"/>
  <cols>
    <col min="1" max="1" width="21" customWidth="1"/>
  </cols>
  <sheetData>
    <row r="1" spans="1:7" x14ac:dyDescent="0.2">
      <c r="A1" t="s">
        <v>8</v>
      </c>
      <c r="B1">
        <v>1</v>
      </c>
      <c r="C1">
        <v>2</v>
      </c>
      <c r="D1" s="2">
        <v>3</v>
      </c>
      <c r="E1" s="2">
        <v>4</v>
      </c>
      <c r="F1" s="2">
        <v>5</v>
      </c>
      <c r="G1" s="2">
        <v>6</v>
      </c>
    </row>
    <row r="2" spans="1:7" x14ac:dyDescent="0.2">
      <c r="A2">
        <v>250</v>
      </c>
      <c r="B2">
        <v>52</v>
      </c>
      <c r="C2">
        <v>80</v>
      </c>
      <c r="D2">
        <v>96</v>
      </c>
      <c r="E2">
        <v>107</v>
      </c>
      <c r="F2">
        <v>118</v>
      </c>
      <c r="G2">
        <v>128</v>
      </c>
    </row>
    <row r="3" spans="1:7" x14ac:dyDescent="0.2">
      <c r="A3">
        <v>300</v>
      </c>
      <c r="B3">
        <v>63</v>
      </c>
      <c r="C3">
        <v>95</v>
      </c>
      <c r="D3">
        <v>115</v>
      </c>
      <c r="E3">
        <v>129</v>
      </c>
      <c r="F3">
        <v>142</v>
      </c>
      <c r="G3">
        <v>154</v>
      </c>
    </row>
    <row r="4" spans="1:7" x14ac:dyDescent="0.2">
      <c r="A4">
        <v>350</v>
      </c>
      <c r="B4">
        <v>73</v>
      </c>
      <c r="C4">
        <v>111</v>
      </c>
      <c r="D4">
        <v>134</v>
      </c>
      <c r="E4">
        <v>150</v>
      </c>
      <c r="F4">
        <v>165</v>
      </c>
      <c r="G4">
        <v>179</v>
      </c>
    </row>
    <row r="5" spans="1:7" x14ac:dyDescent="0.2">
      <c r="A5">
        <v>400</v>
      </c>
      <c r="B5">
        <v>83</v>
      </c>
      <c r="C5">
        <v>127</v>
      </c>
      <c r="D5">
        <v>153</v>
      </c>
      <c r="E5">
        <v>171</v>
      </c>
      <c r="F5">
        <v>188</v>
      </c>
      <c r="G5">
        <v>204</v>
      </c>
    </row>
    <row r="6" spans="1:7" x14ac:dyDescent="0.2">
      <c r="A6">
        <v>450</v>
      </c>
      <c r="B6">
        <v>93</v>
      </c>
      <c r="C6">
        <v>142</v>
      </c>
      <c r="D6">
        <v>171</v>
      </c>
      <c r="E6">
        <v>191</v>
      </c>
      <c r="F6">
        <v>210</v>
      </c>
      <c r="G6">
        <v>229</v>
      </c>
    </row>
    <row r="7" spans="1:7" x14ac:dyDescent="0.2">
      <c r="A7">
        <v>500</v>
      </c>
      <c r="B7">
        <v>103</v>
      </c>
      <c r="C7">
        <v>157</v>
      </c>
      <c r="D7">
        <v>190</v>
      </c>
      <c r="E7">
        <v>212</v>
      </c>
      <c r="F7">
        <v>233</v>
      </c>
      <c r="G7">
        <v>253</v>
      </c>
    </row>
    <row r="8" spans="1:7" x14ac:dyDescent="0.2">
      <c r="A8">
        <v>550</v>
      </c>
      <c r="B8">
        <v>113</v>
      </c>
      <c r="C8">
        <v>172</v>
      </c>
      <c r="D8">
        <v>208</v>
      </c>
      <c r="E8">
        <v>232</v>
      </c>
      <c r="F8">
        <v>255</v>
      </c>
      <c r="G8">
        <v>278</v>
      </c>
    </row>
    <row r="9" spans="1:7" x14ac:dyDescent="0.2">
      <c r="A9">
        <v>600</v>
      </c>
      <c r="B9">
        <v>123</v>
      </c>
      <c r="C9">
        <v>187</v>
      </c>
      <c r="D9">
        <v>226</v>
      </c>
      <c r="E9">
        <v>253</v>
      </c>
      <c r="F9">
        <v>278</v>
      </c>
      <c r="G9">
        <v>302</v>
      </c>
    </row>
    <row r="10" spans="1:7" x14ac:dyDescent="0.2">
      <c r="A10">
        <v>650</v>
      </c>
      <c r="B10">
        <v>133</v>
      </c>
      <c r="C10">
        <v>203</v>
      </c>
      <c r="D10">
        <v>244</v>
      </c>
      <c r="E10">
        <v>273</v>
      </c>
      <c r="F10">
        <v>300</v>
      </c>
      <c r="G10">
        <v>326</v>
      </c>
    </row>
    <row r="11" spans="1:7" x14ac:dyDescent="0.2">
      <c r="A11">
        <v>700</v>
      </c>
      <c r="B11">
        <v>143</v>
      </c>
      <c r="C11">
        <v>218</v>
      </c>
      <c r="D11">
        <v>263</v>
      </c>
      <c r="E11">
        <v>293</v>
      </c>
      <c r="F11">
        <v>323</v>
      </c>
      <c r="G11">
        <v>351</v>
      </c>
    </row>
    <row r="12" spans="1:7" x14ac:dyDescent="0.2">
      <c r="A12">
        <v>750</v>
      </c>
      <c r="B12">
        <v>153</v>
      </c>
      <c r="C12">
        <v>233</v>
      </c>
      <c r="D12">
        <v>281</v>
      </c>
      <c r="E12">
        <v>314</v>
      </c>
      <c r="F12">
        <v>345</v>
      </c>
      <c r="G12">
        <v>375</v>
      </c>
    </row>
    <row r="13" spans="1:7" x14ac:dyDescent="0.2">
      <c r="A13">
        <v>800</v>
      </c>
      <c r="B13">
        <v>163</v>
      </c>
      <c r="C13">
        <v>248</v>
      </c>
      <c r="D13">
        <v>299</v>
      </c>
      <c r="E13">
        <v>334</v>
      </c>
      <c r="F13">
        <v>367</v>
      </c>
      <c r="G13">
        <v>399</v>
      </c>
    </row>
    <row r="14" spans="1:7" x14ac:dyDescent="0.2">
      <c r="A14">
        <v>850</v>
      </c>
      <c r="B14">
        <v>173</v>
      </c>
      <c r="C14">
        <v>263</v>
      </c>
      <c r="D14">
        <v>317</v>
      </c>
      <c r="E14">
        <v>354</v>
      </c>
      <c r="F14">
        <v>390</v>
      </c>
      <c r="G14">
        <v>423</v>
      </c>
    </row>
    <row r="15" spans="1:7" x14ac:dyDescent="0.2">
      <c r="A15">
        <v>900</v>
      </c>
      <c r="B15">
        <v>183</v>
      </c>
      <c r="C15">
        <v>278</v>
      </c>
      <c r="D15">
        <v>335</v>
      </c>
      <c r="E15">
        <v>374</v>
      </c>
      <c r="F15">
        <v>412</v>
      </c>
      <c r="G15">
        <v>448</v>
      </c>
    </row>
    <row r="16" spans="1:7" x14ac:dyDescent="0.2">
      <c r="A16">
        <v>950</v>
      </c>
      <c r="B16">
        <v>193</v>
      </c>
      <c r="C16">
        <v>293</v>
      </c>
      <c r="D16">
        <v>353</v>
      </c>
      <c r="E16">
        <v>395</v>
      </c>
      <c r="F16">
        <v>434</v>
      </c>
      <c r="G16">
        <v>472</v>
      </c>
    </row>
    <row r="17" spans="1:7" x14ac:dyDescent="0.2">
      <c r="A17">
        <v>1000</v>
      </c>
      <c r="B17">
        <v>203</v>
      </c>
      <c r="C17">
        <v>308</v>
      </c>
      <c r="D17">
        <v>371</v>
      </c>
      <c r="E17">
        <v>415</v>
      </c>
      <c r="F17">
        <v>456</v>
      </c>
      <c r="G17">
        <v>496</v>
      </c>
    </row>
    <row r="18" spans="1:7" x14ac:dyDescent="0.2">
      <c r="A18">
        <v>1050</v>
      </c>
      <c r="B18">
        <v>212</v>
      </c>
      <c r="C18">
        <v>323</v>
      </c>
      <c r="D18">
        <v>389</v>
      </c>
      <c r="E18">
        <v>435</v>
      </c>
      <c r="F18">
        <v>479</v>
      </c>
      <c r="G18">
        <v>520</v>
      </c>
    </row>
    <row r="19" spans="1:7" x14ac:dyDescent="0.2">
      <c r="A19">
        <v>1100</v>
      </c>
      <c r="B19">
        <v>221</v>
      </c>
      <c r="C19">
        <v>336</v>
      </c>
      <c r="D19">
        <v>406</v>
      </c>
      <c r="E19">
        <v>453</v>
      </c>
      <c r="F19">
        <v>498</v>
      </c>
      <c r="G19">
        <v>542</v>
      </c>
    </row>
    <row r="20" spans="1:7" x14ac:dyDescent="0.2">
      <c r="A20">
        <v>1150</v>
      </c>
      <c r="B20">
        <v>230</v>
      </c>
      <c r="C20">
        <v>350</v>
      </c>
      <c r="D20">
        <v>422</v>
      </c>
      <c r="E20">
        <v>471</v>
      </c>
      <c r="F20">
        <v>518</v>
      </c>
      <c r="G20">
        <v>563</v>
      </c>
    </row>
    <row r="21" spans="1:7" x14ac:dyDescent="0.2">
      <c r="A21">
        <v>1200</v>
      </c>
      <c r="B21">
        <v>239</v>
      </c>
      <c r="C21">
        <v>363</v>
      </c>
      <c r="D21">
        <v>438</v>
      </c>
      <c r="E21">
        <v>489</v>
      </c>
      <c r="F21">
        <v>538</v>
      </c>
      <c r="G21">
        <v>585</v>
      </c>
    </row>
    <row r="22" spans="1:7" x14ac:dyDescent="0.2">
      <c r="A22">
        <v>1250</v>
      </c>
      <c r="B22">
        <v>248</v>
      </c>
      <c r="C22">
        <v>376</v>
      </c>
      <c r="D22">
        <v>454</v>
      </c>
      <c r="E22">
        <v>507</v>
      </c>
      <c r="F22">
        <v>558</v>
      </c>
      <c r="G22">
        <v>607</v>
      </c>
    </row>
    <row r="23" spans="1:7" x14ac:dyDescent="0.2">
      <c r="A23">
        <v>1300</v>
      </c>
      <c r="B23">
        <v>257</v>
      </c>
      <c r="C23">
        <v>390</v>
      </c>
      <c r="D23">
        <v>470</v>
      </c>
      <c r="E23">
        <v>525</v>
      </c>
      <c r="F23">
        <v>578</v>
      </c>
      <c r="G23">
        <v>628</v>
      </c>
    </row>
    <row r="24" spans="1:7" x14ac:dyDescent="0.2">
      <c r="A24">
        <v>1350</v>
      </c>
      <c r="B24">
        <v>265</v>
      </c>
      <c r="C24">
        <v>403</v>
      </c>
      <c r="D24">
        <v>487</v>
      </c>
      <c r="E24">
        <v>544</v>
      </c>
      <c r="F24">
        <v>598</v>
      </c>
      <c r="G24">
        <v>650</v>
      </c>
    </row>
    <row r="25" spans="1:7" x14ac:dyDescent="0.2">
      <c r="A25">
        <v>1400</v>
      </c>
      <c r="B25">
        <v>274</v>
      </c>
      <c r="C25">
        <v>417</v>
      </c>
      <c r="D25">
        <v>503</v>
      </c>
      <c r="E25">
        <v>562</v>
      </c>
      <c r="F25">
        <v>618</v>
      </c>
      <c r="G25">
        <v>671</v>
      </c>
    </row>
    <row r="26" spans="1:7" x14ac:dyDescent="0.2">
      <c r="A26">
        <v>1450</v>
      </c>
      <c r="B26">
        <v>283</v>
      </c>
      <c r="C26">
        <v>430</v>
      </c>
      <c r="D26">
        <v>519</v>
      </c>
      <c r="E26">
        <v>580</v>
      </c>
      <c r="F26">
        <v>638</v>
      </c>
      <c r="G26">
        <v>693</v>
      </c>
    </row>
    <row r="27" spans="1:7" x14ac:dyDescent="0.2">
      <c r="A27">
        <v>1500</v>
      </c>
      <c r="B27">
        <v>292</v>
      </c>
      <c r="C27">
        <v>444</v>
      </c>
      <c r="D27">
        <v>535</v>
      </c>
      <c r="E27">
        <v>598</v>
      </c>
      <c r="F27">
        <v>658</v>
      </c>
      <c r="G27">
        <v>715</v>
      </c>
    </row>
    <row r="28" spans="1:7" x14ac:dyDescent="0.2">
      <c r="A28">
        <v>1550</v>
      </c>
      <c r="B28">
        <v>301</v>
      </c>
      <c r="C28">
        <v>457</v>
      </c>
      <c r="D28">
        <v>551</v>
      </c>
      <c r="E28">
        <v>616</v>
      </c>
      <c r="F28">
        <v>677</v>
      </c>
      <c r="G28">
        <v>736</v>
      </c>
    </row>
    <row r="29" spans="1:7" x14ac:dyDescent="0.2">
      <c r="A29">
        <v>1600</v>
      </c>
      <c r="B29">
        <v>309</v>
      </c>
      <c r="C29">
        <v>470</v>
      </c>
      <c r="D29">
        <v>567</v>
      </c>
      <c r="E29">
        <v>634</v>
      </c>
      <c r="F29">
        <v>697</v>
      </c>
      <c r="G29">
        <v>758</v>
      </c>
    </row>
    <row r="30" spans="1:7" x14ac:dyDescent="0.2">
      <c r="A30">
        <v>1650</v>
      </c>
      <c r="B30">
        <v>318</v>
      </c>
      <c r="C30">
        <v>484</v>
      </c>
      <c r="D30">
        <v>584</v>
      </c>
      <c r="E30">
        <v>652</v>
      </c>
      <c r="F30">
        <v>717</v>
      </c>
      <c r="G30">
        <v>780</v>
      </c>
    </row>
    <row r="31" spans="1:7" x14ac:dyDescent="0.2">
      <c r="A31">
        <v>1700</v>
      </c>
      <c r="B31">
        <v>327</v>
      </c>
      <c r="C31">
        <v>497</v>
      </c>
      <c r="D31">
        <v>600</v>
      </c>
      <c r="E31">
        <v>670</v>
      </c>
      <c r="F31">
        <v>737</v>
      </c>
      <c r="G31">
        <v>801</v>
      </c>
    </row>
    <row r="32" spans="1:7" x14ac:dyDescent="0.2">
      <c r="A32">
        <v>1750</v>
      </c>
      <c r="B32">
        <v>336</v>
      </c>
      <c r="C32">
        <v>511</v>
      </c>
      <c r="D32">
        <v>616</v>
      </c>
      <c r="E32">
        <v>688</v>
      </c>
      <c r="F32">
        <v>757</v>
      </c>
      <c r="G32">
        <v>823</v>
      </c>
    </row>
    <row r="33" spans="1:7" x14ac:dyDescent="0.2">
      <c r="A33">
        <v>1800</v>
      </c>
      <c r="B33">
        <v>345</v>
      </c>
      <c r="C33">
        <v>524</v>
      </c>
      <c r="D33">
        <v>632</v>
      </c>
      <c r="E33">
        <v>706</v>
      </c>
      <c r="F33">
        <v>777</v>
      </c>
      <c r="G33">
        <v>844</v>
      </c>
    </row>
    <row r="34" spans="1:7" x14ac:dyDescent="0.2">
      <c r="A34">
        <v>1850</v>
      </c>
      <c r="B34">
        <v>354</v>
      </c>
      <c r="C34">
        <v>537</v>
      </c>
      <c r="D34">
        <v>648</v>
      </c>
      <c r="E34">
        <v>724</v>
      </c>
      <c r="F34">
        <v>797</v>
      </c>
      <c r="G34">
        <v>866</v>
      </c>
    </row>
    <row r="35" spans="1:7" x14ac:dyDescent="0.2">
      <c r="A35">
        <v>1900</v>
      </c>
      <c r="B35">
        <v>362</v>
      </c>
      <c r="C35">
        <v>551</v>
      </c>
      <c r="D35">
        <v>664</v>
      </c>
      <c r="E35">
        <v>742</v>
      </c>
      <c r="F35">
        <v>816</v>
      </c>
      <c r="G35">
        <v>887</v>
      </c>
    </row>
    <row r="36" spans="1:7" x14ac:dyDescent="0.2">
      <c r="A36">
        <v>1950</v>
      </c>
      <c r="B36">
        <v>371</v>
      </c>
      <c r="C36">
        <v>564</v>
      </c>
      <c r="D36">
        <v>680</v>
      </c>
      <c r="E36">
        <v>760</v>
      </c>
      <c r="F36">
        <v>836</v>
      </c>
      <c r="G36">
        <v>908</v>
      </c>
    </row>
    <row r="37" spans="1:7" x14ac:dyDescent="0.2">
      <c r="A37">
        <v>2000</v>
      </c>
      <c r="B37">
        <v>379</v>
      </c>
      <c r="C37">
        <v>577</v>
      </c>
      <c r="D37">
        <v>696</v>
      </c>
      <c r="E37">
        <v>777</v>
      </c>
      <c r="F37">
        <v>855</v>
      </c>
      <c r="G37">
        <v>929</v>
      </c>
    </row>
    <row r="38" spans="1:7" x14ac:dyDescent="0.2">
      <c r="A38">
        <v>2050</v>
      </c>
      <c r="B38">
        <v>388</v>
      </c>
      <c r="C38">
        <v>590</v>
      </c>
      <c r="D38">
        <v>712</v>
      </c>
      <c r="E38">
        <v>795</v>
      </c>
      <c r="F38">
        <v>874</v>
      </c>
      <c r="G38">
        <v>950</v>
      </c>
    </row>
    <row r="39" spans="1:7" x14ac:dyDescent="0.2">
      <c r="A39">
        <v>2100</v>
      </c>
      <c r="B39">
        <v>397</v>
      </c>
      <c r="C39">
        <v>603</v>
      </c>
      <c r="D39">
        <v>727</v>
      </c>
      <c r="E39">
        <v>812</v>
      </c>
      <c r="F39">
        <v>894</v>
      </c>
      <c r="G39">
        <v>971</v>
      </c>
    </row>
    <row r="40" spans="1:7" x14ac:dyDescent="0.2">
      <c r="A40">
        <v>2150</v>
      </c>
      <c r="B40">
        <v>405</v>
      </c>
      <c r="C40">
        <v>616</v>
      </c>
      <c r="D40">
        <v>743</v>
      </c>
      <c r="E40">
        <v>830</v>
      </c>
      <c r="F40">
        <v>913</v>
      </c>
      <c r="G40">
        <v>993</v>
      </c>
    </row>
    <row r="41" spans="1:7" x14ac:dyDescent="0.2">
      <c r="A41">
        <v>2200</v>
      </c>
      <c r="B41">
        <v>414</v>
      </c>
      <c r="C41">
        <v>629</v>
      </c>
      <c r="D41">
        <v>759</v>
      </c>
      <c r="E41">
        <v>848</v>
      </c>
      <c r="F41">
        <v>932</v>
      </c>
      <c r="G41">
        <v>1014</v>
      </c>
    </row>
    <row r="42" spans="1:7" x14ac:dyDescent="0.2">
      <c r="A42">
        <v>2250</v>
      </c>
      <c r="B42">
        <v>422</v>
      </c>
      <c r="C42">
        <v>642</v>
      </c>
      <c r="D42">
        <v>775</v>
      </c>
      <c r="E42">
        <v>865</v>
      </c>
      <c r="F42">
        <v>952</v>
      </c>
      <c r="G42">
        <v>1035</v>
      </c>
    </row>
    <row r="43" spans="1:7" x14ac:dyDescent="0.2">
      <c r="A43">
        <v>2300</v>
      </c>
      <c r="B43">
        <v>431</v>
      </c>
      <c r="C43">
        <v>655</v>
      </c>
      <c r="D43">
        <v>790</v>
      </c>
      <c r="E43">
        <v>883</v>
      </c>
      <c r="F43">
        <v>971</v>
      </c>
      <c r="G43">
        <v>1056</v>
      </c>
    </row>
    <row r="44" spans="1:7" x14ac:dyDescent="0.2">
      <c r="A44">
        <v>2350</v>
      </c>
      <c r="B44">
        <v>440</v>
      </c>
      <c r="C44">
        <v>668</v>
      </c>
      <c r="D44">
        <v>806</v>
      </c>
      <c r="E44">
        <v>900</v>
      </c>
      <c r="F44">
        <v>990</v>
      </c>
      <c r="G44">
        <v>1077</v>
      </c>
    </row>
    <row r="45" spans="1:7" x14ac:dyDescent="0.2">
      <c r="A45">
        <v>2400</v>
      </c>
      <c r="B45">
        <v>448</v>
      </c>
      <c r="C45">
        <v>681</v>
      </c>
      <c r="D45">
        <v>822</v>
      </c>
      <c r="E45">
        <v>918</v>
      </c>
      <c r="F45">
        <v>1010</v>
      </c>
      <c r="G45">
        <v>1098</v>
      </c>
    </row>
    <row r="46" spans="1:7" x14ac:dyDescent="0.2">
      <c r="A46">
        <v>2450</v>
      </c>
      <c r="B46">
        <v>457</v>
      </c>
      <c r="C46">
        <v>694</v>
      </c>
      <c r="D46">
        <v>838</v>
      </c>
      <c r="E46">
        <v>936</v>
      </c>
      <c r="F46">
        <v>1029</v>
      </c>
      <c r="G46">
        <v>1119</v>
      </c>
    </row>
    <row r="47" spans="1:7" x14ac:dyDescent="0.2">
      <c r="A47">
        <v>2500</v>
      </c>
      <c r="B47">
        <v>465</v>
      </c>
      <c r="C47">
        <v>707</v>
      </c>
      <c r="D47">
        <v>853</v>
      </c>
      <c r="E47">
        <v>953</v>
      </c>
      <c r="F47">
        <v>1048</v>
      </c>
      <c r="G47">
        <v>1140</v>
      </c>
    </row>
    <row r="48" spans="1:7" x14ac:dyDescent="0.2">
      <c r="A48">
        <v>2550</v>
      </c>
      <c r="B48">
        <v>474</v>
      </c>
      <c r="C48">
        <v>720</v>
      </c>
      <c r="D48">
        <v>869</v>
      </c>
      <c r="E48">
        <v>971</v>
      </c>
      <c r="F48">
        <v>1068</v>
      </c>
      <c r="G48">
        <v>1161</v>
      </c>
    </row>
    <row r="49" spans="1:7" x14ac:dyDescent="0.2">
      <c r="A49">
        <v>2600</v>
      </c>
      <c r="B49">
        <v>482</v>
      </c>
      <c r="C49">
        <v>733</v>
      </c>
      <c r="D49">
        <v>885</v>
      </c>
      <c r="E49">
        <v>988</v>
      </c>
      <c r="F49">
        <v>1087</v>
      </c>
      <c r="G49">
        <v>1182</v>
      </c>
    </row>
    <row r="50" spans="1:7" x14ac:dyDescent="0.2">
      <c r="A50">
        <v>2650</v>
      </c>
      <c r="B50">
        <v>491</v>
      </c>
      <c r="C50">
        <v>746</v>
      </c>
      <c r="D50">
        <v>900</v>
      </c>
      <c r="E50">
        <v>1006</v>
      </c>
      <c r="F50">
        <v>1106</v>
      </c>
      <c r="G50">
        <v>1203</v>
      </c>
    </row>
    <row r="51" spans="1:7" x14ac:dyDescent="0.2">
      <c r="A51">
        <v>2700</v>
      </c>
      <c r="B51">
        <v>500</v>
      </c>
      <c r="C51">
        <v>759</v>
      </c>
      <c r="D51">
        <v>916</v>
      </c>
      <c r="E51">
        <v>1023</v>
      </c>
      <c r="F51">
        <v>1126</v>
      </c>
      <c r="G51">
        <v>1224</v>
      </c>
    </row>
    <row r="52" spans="1:7" x14ac:dyDescent="0.2">
      <c r="A52">
        <v>2750</v>
      </c>
      <c r="B52">
        <v>508</v>
      </c>
      <c r="C52">
        <v>772</v>
      </c>
      <c r="D52">
        <v>932</v>
      </c>
      <c r="E52">
        <v>1041</v>
      </c>
      <c r="F52">
        <v>1145</v>
      </c>
      <c r="G52">
        <v>1245</v>
      </c>
    </row>
    <row r="53" spans="1:7" x14ac:dyDescent="0.2">
      <c r="A53">
        <v>2800</v>
      </c>
      <c r="B53">
        <v>517</v>
      </c>
      <c r="C53">
        <v>786</v>
      </c>
      <c r="D53">
        <v>948</v>
      </c>
      <c r="E53">
        <v>1059</v>
      </c>
      <c r="F53">
        <v>1164</v>
      </c>
      <c r="G53">
        <v>1266</v>
      </c>
    </row>
    <row r="54" spans="1:7" x14ac:dyDescent="0.2">
      <c r="A54">
        <v>2850</v>
      </c>
      <c r="B54">
        <v>525</v>
      </c>
      <c r="C54">
        <v>799</v>
      </c>
      <c r="D54">
        <v>964</v>
      </c>
      <c r="E54">
        <v>1076</v>
      </c>
      <c r="F54">
        <v>1184</v>
      </c>
      <c r="G54">
        <v>1287</v>
      </c>
    </row>
    <row r="55" spans="1:7" x14ac:dyDescent="0.2">
      <c r="A55">
        <v>2900</v>
      </c>
      <c r="B55">
        <v>534</v>
      </c>
      <c r="C55">
        <v>812</v>
      </c>
      <c r="D55">
        <v>979</v>
      </c>
      <c r="E55">
        <v>1094</v>
      </c>
      <c r="F55">
        <v>1203</v>
      </c>
      <c r="G55">
        <v>1308</v>
      </c>
    </row>
    <row r="56" spans="1:7" x14ac:dyDescent="0.2">
      <c r="A56">
        <v>2950</v>
      </c>
      <c r="B56">
        <v>543</v>
      </c>
      <c r="C56">
        <v>825</v>
      </c>
      <c r="D56">
        <v>995</v>
      </c>
      <c r="E56">
        <v>1112</v>
      </c>
      <c r="F56">
        <v>1223</v>
      </c>
      <c r="G56">
        <v>1329</v>
      </c>
    </row>
    <row r="57" spans="1:7" x14ac:dyDescent="0.2">
      <c r="A57">
        <v>3000</v>
      </c>
      <c r="B57">
        <v>551</v>
      </c>
      <c r="C57">
        <v>838</v>
      </c>
      <c r="D57">
        <v>1011</v>
      </c>
      <c r="E57">
        <v>1129</v>
      </c>
      <c r="F57">
        <v>1242</v>
      </c>
      <c r="G57">
        <v>1350</v>
      </c>
    </row>
    <row r="58" spans="1:7" x14ac:dyDescent="0.2">
      <c r="A58">
        <v>3050</v>
      </c>
      <c r="B58">
        <v>560</v>
      </c>
      <c r="C58">
        <v>850</v>
      </c>
      <c r="D58">
        <v>1026</v>
      </c>
      <c r="E58">
        <v>1146</v>
      </c>
      <c r="F58">
        <v>1260</v>
      </c>
      <c r="G58">
        <v>1370</v>
      </c>
    </row>
    <row r="59" spans="1:7" x14ac:dyDescent="0.2">
      <c r="A59">
        <v>3100</v>
      </c>
      <c r="B59">
        <v>568</v>
      </c>
      <c r="C59">
        <v>862</v>
      </c>
      <c r="D59">
        <v>1039</v>
      </c>
      <c r="E59">
        <v>1161</v>
      </c>
      <c r="F59">
        <v>1277</v>
      </c>
      <c r="G59">
        <v>1388</v>
      </c>
    </row>
    <row r="60" spans="1:7" x14ac:dyDescent="0.2">
      <c r="A60">
        <v>3150</v>
      </c>
      <c r="B60">
        <v>576</v>
      </c>
      <c r="C60">
        <v>874</v>
      </c>
      <c r="D60">
        <v>1053</v>
      </c>
      <c r="E60">
        <v>1176</v>
      </c>
      <c r="F60">
        <v>1293</v>
      </c>
      <c r="G60">
        <v>1406</v>
      </c>
    </row>
    <row r="61" spans="1:7" x14ac:dyDescent="0.2">
      <c r="A61">
        <v>3200</v>
      </c>
      <c r="B61">
        <v>584</v>
      </c>
      <c r="C61">
        <v>885</v>
      </c>
      <c r="D61">
        <v>1066</v>
      </c>
      <c r="E61">
        <v>1191</v>
      </c>
      <c r="F61">
        <v>1310</v>
      </c>
      <c r="G61">
        <v>1424</v>
      </c>
    </row>
    <row r="62" spans="1:7" x14ac:dyDescent="0.2">
      <c r="A62">
        <v>3250</v>
      </c>
      <c r="B62">
        <v>592</v>
      </c>
      <c r="C62">
        <v>897</v>
      </c>
      <c r="D62">
        <v>1080</v>
      </c>
      <c r="E62">
        <v>1206</v>
      </c>
      <c r="F62">
        <v>1326</v>
      </c>
      <c r="G62">
        <v>1442</v>
      </c>
    </row>
    <row r="63" spans="1:7" x14ac:dyDescent="0.2">
      <c r="A63">
        <v>3300</v>
      </c>
      <c r="B63">
        <v>600</v>
      </c>
      <c r="C63">
        <v>909</v>
      </c>
      <c r="D63">
        <v>1093</v>
      </c>
      <c r="E63">
        <v>1221</v>
      </c>
      <c r="F63">
        <v>1343</v>
      </c>
      <c r="G63">
        <v>1460</v>
      </c>
    </row>
    <row r="64" spans="1:7" x14ac:dyDescent="0.2">
      <c r="A64">
        <v>3350</v>
      </c>
      <c r="B64">
        <v>608</v>
      </c>
      <c r="C64">
        <v>920</v>
      </c>
      <c r="D64">
        <v>1106</v>
      </c>
      <c r="E64">
        <v>1236</v>
      </c>
      <c r="F64">
        <v>1360</v>
      </c>
      <c r="G64">
        <v>1478</v>
      </c>
    </row>
    <row r="65" spans="1:7" x14ac:dyDescent="0.2">
      <c r="A65">
        <v>3400</v>
      </c>
      <c r="B65">
        <v>616</v>
      </c>
      <c r="C65">
        <v>932</v>
      </c>
      <c r="D65">
        <v>1120</v>
      </c>
      <c r="E65">
        <v>1251</v>
      </c>
      <c r="F65">
        <v>1376</v>
      </c>
      <c r="G65">
        <v>1496</v>
      </c>
    </row>
    <row r="66" spans="1:7" x14ac:dyDescent="0.2">
      <c r="A66">
        <v>3450</v>
      </c>
      <c r="B66">
        <v>624</v>
      </c>
      <c r="C66">
        <v>944</v>
      </c>
      <c r="D66">
        <v>1133</v>
      </c>
      <c r="E66">
        <v>1266</v>
      </c>
      <c r="F66">
        <v>1393</v>
      </c>
      <c r="G66">
        <v>1514</v>
      </c>
    </row>
    <row r="67" spans="1:7" x14ac:dyDescent="0.2">
      <c r="A67">
        <v>3500</v>
      </c>
      <c r="B67">
        <v>632</v>
      </c>
      <c r="C67">
        <v>956</v>
      </c>
      <c r="D67">
        <v>1147</v>
      </c>
      <c r="E67">
        <v>1281</v>
      </c>
      <c r="F67">
        <v>1409</v>
      </c>
      <c r="G67">
        <v>1532</v>
      </c>
    </row>
    <row r="68" spans="1:7" x14ac:dyDescent="0.2">
      <c r="A68">
        <v>3550</v>
      </c>
      <c r="B68">
        <v>640</v>
      </c>
      <c r="C68">
        <v>967</v>
      </c>
      <c r="D68">
        <v>1160</v>
      </c>
      <c r="E68">
        <v>1296</v>
      </c>
      <c r="F68">
        <v>1426</v>
      </c>
      <c r="G68">
        <v>1550</v>
      </c>
    </row>
    <row r="69" spans="1:7" x14ac:dyDescent="0.2">
      <c r="A69">
        <v>3600</v>
      </c>
      <c r="B69">
        <v>648</v>
      </c>
      <c r="C69">
        <v>979</v>
      </c>
      <c r="D69">
        <v>1174</v>
      </c>
      <c r="E69">
        <v>1311</v>
      </c>
      <c r="F69">
        <v>1442</v>
      </c>
      <c r="G69">
        <v>1568</v>
      </c>
    </row>
    <row r="70" spans="1:7" x14ac:dyDescent="0.2">
      <c r="A70">
        <v>3650</v>
      </c>
      <c r="B70">
        <v>654</v>
      </c>
      <c r="C70">
        <v>987</v>
      </c>
      <c r="D70">
        <v>1183</v>
      </c>
      <c r="E70">
        <v>1321</v>
      </c>
      <c r="F70">
        <v>1454</v>
      </c>
      <c r="G70">
        <v>1580</v>
      </c>
    </row>
    <row r="71" spans="1:7" x14ac:dyDescent="0.2">
      <c r="A71">
        <v>3700</v>
      </c>
      <c r="B71">
        <v>658</v>
      </c>
      <c r="C71">
        <v>994</v>
      </c>
      <c r="D71">
        <v>1191</v>
      </c>
      <c r="E71">
        <v>1330</v>
      </c>
      <c r="F71">
        <v>1463</v>
      </c>
      <c r="G71">
        <v>1590</v>
      </c>
    </row>
    <row r="72" spans="1:7" x14ac:dyDescent="0.2">
      <c r="A72">
        <v>3750</v>
      </c>
      <c r="B72">
        <v>663</v>
      </c>
      <c r="C72">
        <v>1000</v>
      </c>
      <c r="D72">
        <v>1198</v>
      </c>
      <c r="E72">
        <v>1338</v>
      </c>
      <c r="F72">
        <v>1472</v>
      </c>
      <c r="G72">
        <v>1600</v>
      </c>
    </row>
    <row r="73" spans="1:7" x14ac:dyDescent="0.2">
      <c r="A73">
        <v>3800</v>
      </c>
      <c r="B73">
        <v>667</v>
      </c>
      <c r="C73">
        <v>1007</v>
      </c>
      <c r="D73">
        <v>1206</v>
      </c>
      <c r="E73">
        <v>1347</v>
      </c>
      <c r="F73">
        <v>1481</v>
      </c>
      <c r="G73">
        <v>1610</v>
      </c>
    </row>
    <row r="74" spans="1:7" x14ac:dyDescent="0.2">
      <c r="A74">
        <v>3850</v>
      </c>
      <c r="B74">
        <v>672</v>
      </c>
      <c r="C74">
        <v>1013</v>
      </c>
      <c r="D74">
        <v>1213</v>
      </c>
      <c r="E74">
        <v>1355</v>
      </c>
      <c r="F74">
        <v>1491</v>
      </c>
      <c r="G74">
        <v>1620</v>
      </c>
    </row>
    <row r="75" spans="1:7" x14ac:dyDescent="0.2">
      <c r="A75">
        <v>3900</v>
      </c>
      <c r="B75">
        <v>676</v>
      </c>
      <c r="C75">
        <v>1020</v>
      </c>
      <c r="D75">
        <v>1221</v>
      </c>
      <c r="E75">
        <v>1364</v>
      </c>
      <c r="F75">
        <v>1500</v>
      </c>
      <c r="G75">
        <v>1630</v>
      </c>
    </row>
    <row r="76" spans="1:7" x14ac:dyDescent="0.2">
      <c r="A76">
        <v>3950</v>
      </c>
      <c r="B76">
        <v>681</v>
      </c>
      <c r="C76">
        <v>1026</v>
      </c>
      <c r="D76">
        <v>1228</v>
      </c>
      <c r="E76">
        <v>1372</v>
      </c>
      <c r="F76">
        <v>1509</v>
      </c>
      <c r="G76">
        <v>1641</v>
      </c>
    </row>
    <row r="77" spans="1:7" x14ac:dyDescent="0.2">
      <c r="A77">
        <v>4000</v>
      </c>
      <c r="B77">
        <v>685</v>
      </c>
      <c r="C77">
        <v>1033</v>
      </c>
      <c r="D77">
        <v>1236</v>
      </c>
      <c r="E77">
        <v>1380</v>
      </c>
      <c r="F77">
        <v>1518</v>
      </c>
      <c r="G77">
        <v>1651</v>
      </c>
    </row>
    <row r="78" spans="1:7" x14ac:dyDescent="0.2">
      <c r="A78">
        <v>4050</v>
      </c>
      <c r="B78">
        <v>690</v>
      </c>
      <c r="C78">
        <v>1039</v>
      </c>
      <c r="D78">
        <v>1243</v>
      </c>
      <c r="E78">
        <v>1389</v>
      </c>
      <c r="F78">
        <v>1528</v>
      </c>
      <c r="G78">
        <v>1661</v>
      </c>
    </row>
    <row r="79" spans="1:7" x14ac:dyDescent="0.2">
      <c r="A79">
        <v>4100</v>
      </c>
      <c r="B79">
        <v>694</v>
      </c>
      <c r="C79">
        <v>1046</v>
      </c>
      <c r="D79">
        <v>1251</v>
      </c>
      <c r="E79">
        <v>1397</v>
      </c>
      <c r="F79">
        <v>1537</v>
      </c>
      <c r="G79">
        <v>1671</v>
      </c>
    </row>
    <row r="80" spans="1:7" x14ac:dyDescent="0.2">
      <c r="A80">
        <v>4150</v>
      </c>
      <c r="B80">
        <v>699</v>
      </c>
      <c r="C80">
        <v>1053</v>
      </c>
      <c r="D80">
        <v>1258</v>
      </c>
      <c r="E80">
        <v>1406</v>
      </c>
      <c r="F80">
        <v>1546</v>
      </c>
      <c r="G80">
        <v>1681</v>
      </c>
    </row>
    <row r="81" spans="1:7" x14ac:dyDescent="0.2">
      <c r="A81">
        <v>4200</v>
      </c>
      <c r="B81">
        <v>703</v>
      </c>
      <c r="C81">
        <v>1059</v>
      </c>
      <c r="D81">
        <v>1266</v>
      </c>
      <c r="E81">
        <v>1414</v>
      </c>
      <c r="F81">
        <v>1556</v>
      </c>
      <c r="G81">
        <v>1691</v>
      </c>
    </row>
    <row r="82" spans="1:7" x14ac:dyDescent="0.2">
      <c r="A82">
        <v>4250</v>
      </c>
      <c r="B82">
        <v>710</v>
      </c>
      <c r="C82">
        <v>1069</v>
      </c>
      <c r="D82">
        <v>1278</v>
      </c>
      <c r="E82">
        <v>1427</v>
      </c>
      <c r="F82">
        <v>1570</v>
      </c>
      <c r="G82">
        <v>1707</v>
      </c>
    </row>
    <row r="83" spans="1:7" x14ac:dyDescent="0.2">
      <c r="A83">
        <v>4300</v>
      </c>
      <c r="B83">
        <v>717</v>
      </c>
      <c r="C83">
        <v>1080</v>
      </c>
      <c r="D83">
        <v>1290</v>
      </c>
      <c r="E83">
        <v>1441</v>
      </c>
      <c r="F83">
        <v>1585</v>
      </c>
      <c r="G83">
        <v>1723</v>
      </c>
    </row>
    <row r="84" spans="1:7" x14ac:dyDescent="0.2">
      <c r="A84">
        <v>4350</v>
      </c>
      <c r="B84">
        <v>725</v>
      </c>
      <c r="C84">
        <v>1090</v>
      </c>
      <c r="D84">
        <v>1302</v>
      </c>
      <c r="E84">
        <v>1454</v>
      </c>
      <c r="F84">
        <v>1600</v>
      </c>
      <c r="G84">
        <v>1739</v>
      </c>
    </row>
    <row r="85" spans="1:7" x14ac:dyDescent="0.2">
      <c r="A85">
        <v>4400</v>
      </c>
      <c r="B85">
        <v>732</v>
      </c>
      <c r="C85">
        <v>1100</v>
      </c>
      <c r="D85">
        <v>1314</v>
      </c>
      <c r="E85">
        <v>1468</v>
      </c>
      <c r="F85">
        <v>1614</v>
      </c>
      <c r="G85">
        <v>1755</v>
      </c>
    </row>
    <row r="86" spans="1:7" x14ac:dyDescent="0.2">
      <c r="A86">
        <v>4450</v>
      </c>
      <c r="B86">
        <v>738</v>
      </c>
      <c r="C86">
        <v>1110</v>
      </c>
      <c r="D86">
        <v>1325</v>
      </c>
      <c r="E86">
        <v>1480</v>
      </c>
      <c r="F86">
        <v>1628</v>
      </c>
      <c r="G86">
        <v>1770</v>
      </c>
    </row>
    <row r="87" spans="1:7" x14ac:dyDescent="0.2">
      <c r="A87">
        <v>4500</v>
      </c>
      <c r="B87">
        <v>744</v>
      </c>
      <c r="C87">
        <v>1119</v>
      </c>
      <c r="D87">
        <v>1335</v>
      </c>
      <c r="E87">
        <v>1492</v>
      </c>
      <c r="F87">
        <v>1641</v>
      </c>
      <c r="G87">
        <v>1784</v>
      </c>
    </row>
    <row r="88" spans="1:7" x14ac:dyDescent="0.2">
      <c r="A88">
        <v>4550</v>
      </c>
      <c r="B88">
        <v>751</v>
      </c>
      <c r="C88">
        <v>1128</v>
      </c>
      <c r="D88">
        <v>1346</v>
      </c>
      <c r="E88">
        <v>1503</v>
      </c>
      <c r="F88">
        <v>1654</v>
      </c>
      <c r="G88">
        <v>1798</v>
      </c>
    </row>
    <row r="89" spans="1:7" x14ac:dyDescent="0.2">
      <c r="A89">
        <v>4600</v>
      </c>
      <c r="B89">
        <v>757</v>
      </c>
      <c r="C89">
        <v>1137</v>
      </c>
      <c r="D89">
        <v>1356</v>
      </c>
      <c r="E89">
        <v>1515</v>
      </c>
      <c r="F89">
        <v>1667</v>
      </c>
      <c r="G89">
        <v>1812</v>
      </c>
    </row>
    <row r="90" spans="1:7" x14ac:dyDescent="0.2">
      <c r="A90">
        <v>4650</v>
      </c>
      <c r="B90">
        <v>763</v>
      </c>
      <c r="C90">
        <v>1146</v>
      </c>
      <c r="D90">
        <v>1367</v>
      </c>
      <c r="E90">
        <v>1527</v>
      </c>
      <c r="F90">
        <v>1679</v>
      </c>
      <c r="G90">
        <v>1826</v>
      </c>
    </row>
    <row r="91" spans="1:7" x14ac:dyDescent="0.2">
      <c r="A91">
        <v>4700</v>
      </c>
      <c r="B91">
        <v>769</v>
      </c>
      <c r="C91">
        <v>1156</v>
      </c>
      <c r="D91">
        <v>1377</v>
      </c>
      <c r="E91">
        <v>1539</v>
      </c>
      <c r="F91">
        <v>1692</v>
      </c>
      <c r="G91">
        <v>1840</v>
      </c>
    </row>
    <row r="92" spans="1:7" x14ac:dyDescent="0.2">
      <c r="A92">
        <v>4750</v>
      </c>
      <c r="B92">
        <v>776</v>
      </c>
      <c r="C92">
        <v>1165</v>
      </c>
      <c r="D92">
        <v>1388</v>
      </c>
      <c r="E92">
        <v>1550</v>
      </c>
      <c r="F92">
        <v>1705</v>
      </c>
      <c r="G92">
        <v>1854</v>
      </c>
    </row>
    <row r="93" spans="1:7" x14ac:dyDescent="0.2">
      <c r="A93">
        <v>4800</v>
      </c>
      <c r="B93">
        <v>782</v>
      </c>
      <c r="C93">
        <v>1174</v>
      </c>
      <c r="D93">
        <v>1398</v>
      </c>
      <c r="E93">
        <v>1562</v>
      </c>
      <c r="F93">
        <v>1718</v>
      </c>
      <c r="G93">
        <v>1868</v>
      </c>
    </row>
    <row r="94" spans="1:7" x14ac:dyDescent="0.2">
      <c r="A94">
        <v>4850</v>
      </c>
      <c r="B94">
        <v>787</v>
      </c>
      <c r="C94">
        <v>1182</v>
      </c>
      <c r="D94">
        <v>1408</v>
      </c>
      <c r="E94">
        <v>1572</v>
      </c>
      <c r="F94">
        <v>1730</v>
      </c>
      <c r="G94">
        <v>1880</v>
      </c>
    </row>
    <row r="95" spans="1:7" x14ac:dyDescent="0.2">
      <c r="A95">
        <v>4900</v>
      </c>
      <c r="B95">
        <v>790</v>
      </c>
      <c r="C95">
        <v>1186</v>
      </c>
      <c r="D95">
        <v>1412</v>
      </c>
      <c r="E95">
        <v>1578</v>
      </c>
      <c r="F95">
        <v>1735</v>
      </c>
      <c r="G95">
        <v>1886</v>
      </c>
    </row>
    <row r="96" spans="1:7" x14ac:dyDescent="0.2">
      <c r="A96">
        <v>4950</v>
      </c>
      <c r="B96">
        <v>793</v>
      </c>
      <c r="C96">
        <v>1190</v>
      </c>
      <c r="D96">
        <v>1417</v>
      </c>
      <c r="E96">
        <v>1583</v>
      </c>
      <c r="F96">
        <v>1741</v>
      </c>
      <c r="G96">
        <v>1893</v>
      </c>
    </row>
    <row r="97" spans="1:7" x14ac:dyDescent="0.2">
      <c r="A97">
        <v>5000</v>
      </c>
      <c r="B97">
        <v>796</v>
      </c>
      <c r="C97">
        <v>1194</v>
      </c>
      <c r="D97">
        <v>1422</v>
      </c>
      <c r="E97">
        <v>1588</v>
      </c>
      <c r="F97">
        <v>1747</v>
      </c>
      <c r="G97">
        <v>1899</v>
      </c>
    </row>
    <row r="98" spans="1:7" x14ac:dyDescent="0.2">
      <c r="A98">
        <v>5050</v>
      </c>
      <c r="B98">
        <v>799</v>
      </c>
      <c r="C98">
        <v>1198</v>
      </c>
      <c r="D98">
        <v>1427</v>
      </c>
      <c r="E98">
        <v>1593</v>
      </c>
      <c r="F98">
        <v>1753</v>
      </c>
      <c r="G98">
        <v>1905</v>
      </c>
    </row>
    <row r="99" spans="1:7" x14ac:dyDescent="0.2">
      <c r="A99">
        <v>5100</v>
      </c>
      <c r="B99">
        <v>801</v>
      </c>
      <c r="C99">
        <v>1202</v>
      </c>
      <c r="D99">
        <v>1431</v>
      </c>
      <c r="E99">
        <v>1599</v>
      </c>
      <c r="F99">
        <v>1759</v>
      </c>
      <c r="G99">
        <v>1912</v>
      </c>
    </row>
    <row r="100" spans="1:7" x14ac:dyDescent="0.2">
      <c r="A100">
        <v>5150</v>
      </c>
      <c r="B100">
        <v>804</v>
      </c>
      <c r="C100">
        <v>1206</v>
      </c>
      <c r="D100">
        <v>1436</v>
      </c>
      <c r="E100">
        <v>1604</v>
      </c>
      <c r="F100">
        <v>1764</v>
      </c>
      <c r="G100">
        <v>1918</v>
      </c>
    </row>
    <row r="101" spans="1:7" x14ac:dyDescent="0.2">
      <c r="A101">
        <v>5200</v>
      </c>
      <c r="B101">
        <v>807</v>
      </c>
      <c r="C101">
        <v>1210</v>
      </c>
      <c r="D101">
        <v>1441</v>
      </c>
      <c r="E101">
        <v>1609</v>
      </c>
      <c r="F101">
        <v>1770</v>
      </c>
      <c r="G101">
        <v>1924</v>
      </c>
    </row>
    <row r="102" spans="1:7" x14ac:dyDescent="0.2">
      <c r="A102">
        <v>5250</v>
      </c>
      <c r="B102">
        <v>810</v>
      </c>
      <c r="C102">
        <v>1215</v>
      </c>
      <c r="D102">
        <v>1445</v>
      </c>
      <c r="E102">
        <v>1615</v>
      </c>
      <c r="F102">
        <v>1776</v>
      </c>
      <c r="G102">
        <v>1931</v>
      </c>
    </row>
    <row r="103" spans="1:7" x14ac:dyDescent="0.2">
      <c r="A103">
        <v>5300</v>
      </c>
      <c r="B103">
        <v>813</v>
      </c>
      <c r="C103">
        <v>1219</v>
      </c>
      <c r="D103">
        <v>1450</v>
      </c>
      <c r="E103">
        <v>1620</v>
      </c>
      <c r="F103">
        <v>1782</v>
      </c>
      <c r="G103">
        <v>1937</v>
      </c>
    </row>
    <row r="104" spans="1:7" x14ac:dyDescent="0.2">
      <c r="A104">
        <v>5350</v>
      </c>
      <c r="B104">
        <v>816</v>
      </c>
      <c r="C104">
        <v>1223</v>
      </c>
      <c r="D104">
        <v>1455</v>
      </c>
      <c r="E104">
        <v>1625</v>
      </c>
      <c r="F104">
        <v>1788</v>
      </c>
      <c r="G104">
        <v>1943</v>
      </c>
    </row>
    <row r="105" spans="1:7" x14ac:dyDescent="0.2">
      <c r="A105">
        <v>5400</v>
      </c>
      <c r="B105">
        <v>818</v>
      </c>
      <c r="C105">
        <v>1227</v>
      </c>
      <c r="D105">
        <v>1460</v>
      </c>
      <c r="E105">
        <v>1630</v>
      </c>
      <c r="F105">
        <v>1794</v>
      </c>
      <c r="G105">
        <v>1950</v>
      </c>
    </row>
    <row r="106" spans="1:7" x14ac:dyDescent="0.2">
      <c r="A106">
        <v>5450</v>
      </c>
      <c r="B106">
        <v>821</v>
      </c>
      <c r="C106">
        <v>1231</v>
      </c>
      <c r="D106">
        <v>1464</v>
      </c>
      <c r="E106">
        <v>1636</v>
      </c>
      <c r="F106">
        <v>1799</v>
      </c>
      <c r="G106">
        <v>1956</v>
      </c>
    </row>
    <row r="107" spans="1:7" x14ac:dyDescent="0.2">
      <c r="A107">
        <v>5500</v>
      </c>
      <c r="B107">
        <v>824</v>
      </c>
      <c r="C107">
        <v>1235</v>
      </c>
      <c r="D107">
        <v>1469</v>
      </c>
      <c r="E107">
        <v>1641</v>
      </c>
      <c r="F107">
        <v>1805</v>
      </c>
      <c r="G107">
        <v>1962</v>
      </c>
    </row>
    <row r="108" spans="1:7" x14ac:dyDescent="0.2">
      <c r="A108">
        <v>5550</v>
      </c>
      <c r="B108">
        <v>827</v>
      </c>
      <c r="C108">
        <v>1239</v>
      </c>
      <c r="D108">
        <v>1473</v>
      </c>
      <c r="E108">
        <v>1645</v>
      </c>
      <c r="F108">
        <v>1810</v>
      </c>
      <c r="G108">
        <v>1967</v>
      </c>
    </row>
    <row r="109" spans="1:7" x14ac:dyDescent="0.2">
      <c r="A109">
        <v>5600</v>
      </c>
      <c r="B109">
        <v>830</v>
      </c>
      <c r="C109">
        <v>1242</v>
      </c>
      <c r="D109">
        <v>1477</v>
      </c>
      <c r="E109">
        <v>1650</v>
      </c>
      <c r="F109">
        <v>1814</v>
      </c>
      <c r="G109">
        <v>1972</v>
      </c>
    </row>
    <row r="110" spans="1:7" x14ac:dyDescent="0.2">
      <c r="A110">
        <v>5650</v>
      </c>
      <c r="B110">
        <v>832</v>
      </c>
      <c r="C110">
        <v>1246</v>
      </c>
      <c r="D110">
        <v>1480</v>
      </c>
      <c r="E110">
        <v>1654</v>
      </c>
      <c r="F110">
        <v>1819</v>
      </c>
      <c r="G110">
        <v>1977</v>
      </c>
    </row>
    <row r="111" spans="1:7" x14ac:dyDescent="0.2">
      <c r="A111">
        <v>5700</v>
      </c>
      <c r="B111">
        <v>835</v>
      </c>
      <c r="C111">
        <v>1250</v>
      </c>
      <c r="D111">
        <v>1484</v>
      </c>
      <c r="E111">
        <v>1658</v>
      </c>
      <c r="F111">
        <v>1824</v>
      </c>
      <c r="G111">
        <v>1982</v>
      </c>
    </row>
    <row r="112" spans="1:7" x14ac:dyDescent="0.2">
      <c r="A112">
        <v>5750</v>
      </c>
      <c r="B112">
        <v>838</v>
      </c>
      <c r="C112">
        <v>1253</v>
      </c>
      <c r="D112">
        <v>1488</v>
      </c>
      <c r="E112">
        <v>1662</v>
      </c>
      <c r="F112">
        <v>1828</v>
      </c>
      <c r="G112">
        <v>1987</v>
      </c>
    </row>
    <row r="113" spans="1:7" x14ac:dyDescent="0.2">
      <c r="A113">
        <v>5800</v>
      </c>
      <c r="B113">
        <v>840</v>
      </c>
      <c r="C113">
        <v>1257</v>
      </c>
      <c r="D113">
        <v>1491</v>
      </c>
      <c r="E113">
        <v>1666</v>
      </c>
      <c r="F113">
        <v>1833</v>
      </c>
      <c r="G113">
        <v>1992</v>
      </c>
    </row>
    <row r="114" spans="1:7" x14ac:dyDescent="0.2">
      <c r="A114">
        <v>5850</v>
      </c>
      <c r="B114">
        <v>843</v>
      </c>
      <c r="C114">
        <v>1260</v>
      </c>
      <c r="D114">
        <v>1495</v>
      </c>
      <c r="E114">
        <v>1670</v>
      </c>
      <c r="F114">
        <v>1837</v>
      </c>
      <c r="G114">
        <v>1997</v>
      </c>
    </row>
    <row r="115" spans="1:7" x14ac:dyDescent="0.2">
      <c r="A115">
        <v>5900</v>
      </c>
      <c r="B115">
        <v>846</v>
      </c>
      <c r="C115">
        <v>1264</v>
      </c>
      <c r="D115">
        <v>1499</v>
      </c>
      <c r="E115">
        <v>1674</v>
      </c>
      <c r="F115">
        <v>1842</v>
      </c>
      <c r="G115">
        <v>2002</v>
      </c>
    </row>
    <row r="116" spans="1:7" x14ac:dyDescent="0.2">
      <c r="A116">
        <v>5950</v>
      </c>
      <c r="B116">
        <v>848</v>
      </c>
      <c r="C116">
        <v>1267</v>
      </c>
      <c r="D116">
        <v>1502</v>
      </c>
      <c r="E116">
        <v>1678</v>
      </c>
      <c r="F116">
        <v>1846</v>
      </c>
      <c r="G116">
        <v>2007</v>
      </c>
    </row>
    <row r="117" spans="1:7" x14ac:dyDescent="0.2">
      <c r="A117">
        <v>6000</v>
      </c>
      <c r="B117">
        <v>851</v>
      </c>
      <c r="C117">
        <v>1271</v>
      </c>
      <c r="D117">
        <v>1506</v>
      </c>
      <c r="E117">
        <v>1682</v>
      </c>
      <c r="F117">
        <v>1851</v>
      </c>
      <c r="G117">
        <v>2012</v>
      </c>
    </row>
    <row r="118" spans="1:7" x14ac:dyDescent="0.2">
      <c r="A118">
        <v>6050</v>
      </c>
      <c r="B118">
        <v>854</v>
      </c>
      <c r="C118">
        <v>1275</v>
      </c>
      <c r="D118">
        <v>1510</v>
      </c>
      <c r="E118">
        <v>1687</v>
      </c>
      <c r="F118">
        <v>1855</v>
      </c>
      <c r="G118">
        <v>2017</v>
      </c>
    </row>
    <row r="119" spans="1:7" x14ac:dyDescent="0.2">
      <c r="A119">
        <v>6100</v>
      </c>
      <c r="B119">
        <v>856</v>
      </c>
      <c r="C119">
        <v>1278</v>
      </c>
      <c r="D119">
        <v>1514</v>
      </c>
      <c r="E119">
        <v>1691</v>
      </c>
      <c r="F119">
        <v>1860</v>
      </c>
      <c r="G119">
        <v>2021</v>
      </c>
    </row>
    <row r="120" spans="1:7" x14ac:dyDescent="0.2">
      <c r="A120">
        <v>6150</v>
      </c>
      <c r="B120">
        <v>859</v>
      </c>
      <c r="C120">
        <v>1282</v>
      </c>
      <c r="D120">
        <v>1517</v>
      </c>
      <c r="E120">
        <v>1695</v>
      </c>
      <c r="F120">
        <v>1864</v>
      </c>
      <c r="G120">
        <v>2026</v>
      </c>
    </row>
    <row r="121" spans="1:7" x14ac:dyDescent="0.2">
      <c r="A121">
        <v>6200</v>
      </c>
      <c r="B121">
        <v>862</v>
      </c>
      <c r="C121">
        <v>1286</v>
      </c>
      <c r="D121">
        <v>1521</v>
      </c>
      <c r="E121">
        <v>1699</v>
      </c>
      <c r="F121">
        <v>1869</v>
      </c>
      <c r="G121">
        <v>2032</v>
      </c>
    </row>
    <row r="122" spans="1:7" x14ac:dyDescent="0.2">
      <c r="A122">
        <v>6250</v>
      </c>
      <c r="B122">
        <v>866</v>
      </c>
      <c r="C122">
        <v>1290</v>
      </c>
      <c r="D122">
        <v>1526</v>
      </c>
      <c r="E122">
        <v>1704</v>
      </c>
      <c r="F122">
        <v>1875</v>
      </c>
      <c r="G122">
        <v>2038</v>
      </c>
    </row>
    <row r="123" spans="1:7" x14ac:dyDescent="0.2">
      <c r="A123">
        <v>6300</v>
      </c>
      <c r="B123">
        <v>869</v>
      </c>
      <c r="C123">
        <v>1295</v>
      </c>
      <c r="D123">
        <v>1530</v>
      </c>
      <c r="E123">
        <v>1709</v>
      </c>
      <c r="F123">
        <v>1880</v>
      </c>
      <c r="G123">
        <v>2044</v>
      </c>
    </row>
    <row r="124" spans="1:7" x14ac:dyDescent="0.2">
      <c r="A124">
        <v>6350</v>
      </c>
      <c r="B124">
        <v>873</v>
      </c>
      <c r="C124">
        <v>1299</v>
      </c>
      <c r="D124">
        <v>1535</v>
      </c>
      <c r="E124">
        <v>1715</v>
      </c>
      <c r="F124">
        <v>1886</v>
      </c>
      <c r="G124">
        <v>2050</v>
      </c>
    </row>
    <row r="125" spans="1:7" x14ac:dyDescent="0.2">
      <c r="A125">
        <v>6400</v>
      </c>
      <c r="B125">
        <v>876</v>
      </c>
      <c r="C125">
        <v>1304</v>
      </c>
      <c r="D125">
        <v>1540</v>
      </c>
      <c r="E125">
        <v>1720</v>
      </c>
      <c r="F125">
        <v>1892</v>
      </c>
      <c r="G125">
        <v>2056</v>
      </c>
    </row>
    <row r="126" spans="1:7" x14ac:dyDescent="0.2">
      <c r="A126">
        <v>6450</v>
      </c>
      <c r="B126">
        <v>880</v>
      </c>
      <c r="C126">
        <v>1309</v>
      </c>
      <c r="D126">
        <v>1544</v>
      </c>
      <c r="E126">
        <v>1725</v>
      </c>
      <c r="F126">
        <v>1897</v>
      </c>
      <c r="G126">
        <v>2062</v>
      </c>
    </row>
    <row r="127" spans="1:7" x14ac:dyDescent="0.2">
      <c r="A127">
        <v>6500</v>
      </c>
      <c r="B127">
        <v>883</v>
      </c>
      <c r="C127">
        <v>1313</v>
      </c>
      <c r="D127">
        <v>1549</v>
      </c>
      <c r="E127">
        <v>1730</v>
      </c>
      <c r="F127">
        <v>1903</v>
      </c>
      <c r="G127">
        <v>2068</v>
      </c>
    </row>
    <row r="128" spans="1:7" x14ac:dyDescent="0.2">
      <c r="A128">
        <v>6550</v>
      </c>
      <c r="B128">
        <v>887</v>
      </c>
      <c r="C128">
        <v>1318</v>
      </c>
      <c r="D128">
        <v>1553</v>
      </c>
      <c r="E128">
        <v>1735</v>
      </c>
      <c r="F128">
        <v>1909</v>
      </c>
      <c r="G128">
        <v>2075</v>
      </c>
    </row>
    <row r="129" spans="1:7" x14ac:dyDescent="0.2">
      <c r="A129">
        <v>6600</v>
      </c>
      <c r="B129">
        <v>891</v>
      </c>
      <c r="C129">
        <v>1322</v>
      </c>
      <c r="D129">
        <v>1558</v>
      </c>
      <c r="E129">
        <v>1740</v>
      </c>
      <c r="F129">
        <v>1914</v>
      </c>
      <c r="G129">
        <v>2081</v>
      </c>
    </row>
    <row r="130" spans="1:7" x14ac:dyDescent="0.2">
      <c r="A130">
        <v>6650</v>
      </c>
      <c r="B130">
        <v>894</v>
      </c>
      <c r="C130">
        <v>1327</v>
      </c>
      <c r="D130">
        <v>1562</v>
      </c>
      <c r="E130">
        <v>1745</v>
      </c>
      <c r="F130">
        <v>1920</v>
      </c>
      <c r="G130">
        <v>2087</v>
      </c>
    </row>
    <row r="131" spans="1:7" x14ac:dyDescent="0.2">
      <c r="A131">
        <v>6700</v>
      </c>
      <c r="B131">
        <v>898</v>
      </c>
      <c r="C131">
        <v>1332</v>
      </c>
      <c r="D131">
        <v>1567</v>
      </c>
      <c r="E131">
        <v>1750</v>
      </c>
      <c r="F131">
        <v>1925</v>
      </c>
      <c r="G131">
        <v>2093</v>
      </c>
    </row>
    <row r="132" spans="1:7" x14ac:dyDescent="0.2">
      <c r="A132">
        <v>6750</v>
      </c>
      <c r="B132">
        <v>901</v>
      </c>
      <c r="C132">
        <v>1336</v>
      </c>
      <c r="D132">
        <v>1572</v>
      </c>
      <c r="E132">
        <v>1756</v>
      </c>
      <c r="F132">
        <v>1931</v>
      </c>
      <c r="G132">
        <v>2099</v>
      </c>
    </row>
    <row r="133" spans="1:7" x14ac:dyDescent="0.2">
      <c r="A133">
        <v>6800</v>
      </c>
      <c r="B133">
        <v>905</v>
      </c>
      <c r="C133">
        <v>1341</v>
      </c>
      <c r="D133">
        <v>1576</v>
      </c>
      <c r="E133">
        <v>1761</v>
      </c>
      <c r="F133">
        <v>1937</v>
      </c>
      <c r="G133">
        <v>2105</v>
      </c>
    </row>
    <row r="134" spans="1:7" x14ac:dyDescent="0.2">
      <c r="A134">
        <v>6850</v>
      </c>
      <c r="B134">
        <v>908</v>
      </c>
      <c r="C134">
        <v>1346</v>
      </c>
      <c r="D134">
        <v>1581</v>
      </c>
      <c r="E134">
        <v>1766</v>
      </c>
      <c r="F134">
        <v>1942</v>
      </c>
      <c r="G134">
        <v>2111</v>
      </c>
    </row>
    <row r="135" spans="1:7" x14ac:dyDescent="0.2">
      <c r="A135">
        <v>6900</v>
      </c>
      <c r="B135">
        <v>914</v>
      </c>
      <c r="C135">
        <v>1353</v>
      </c>
      <c r="D135">
        <v>1590</v>
      </c>
      <c r="E135">
        <v>1776</v>
      </c>
      <c r="F135">
        <v>1954</v>
      </c>
      <c r="G135">
        <v>2124</v>
      </c>
    </row>
    <row r="136" spans="1:7" x14ac:dyDescent="0.2">
      <c r="A136">
        <v>6950</v>
      </c>
      <c r="B136">
        <v>919</v>
      </c>
      <c r="C136">
        <v>1362</v>
      </c>
      <c r="D136">
        <v>1599</v>
      </c>
      <c r="E136">
        <v>1786</v>
      </c>
      <c r="F136">
        <v>1965</v>
      </c>
      <c r="G136">
        <v>2136</v>
      </c>
    </row>
    <row r="137" spans="1:7" x14ac:dyDescent="0.2">
      <c r="A137">
        <v>7000</v>
      </c>
      <c r="B137">
        <v>925</v>
      </c>
      <c r="C137">
        <v>1370</v>
      </c>
      <c r="D137">
        <v>1609</v>
      </c>
      <c r="E137">
        <v>1797</v>
      </c>
      <c r="F137">
        <v>1977</v>
      </c>
      <c r="G137">
        <v>2149</v>
      </c>
    </row>
    <row r="138" spans="1:7" x14ac:dyDescent="0.2">
      <c r="A138">
        <v>7050</v>
      </c>
      <c r="B138">
        <v>931</v>
      </c>
      <c r="C138">
        <v>1378</v>
      </c>
      <c r="D138">
        <v>1618</v>
      </c>
      <c r="E138">
        <v>1807</v>
      </c>
      <c r="F138">
        <v>1988</v>
      </c>
      <c r="G138">
        <v>2161</v>
      </c>
    </row>
    <row r="139" spans="1:7" x14ac:dyDescent="0.2">
      <c r="A139">
        <v>7100</v>
      </c>
      <c r="B139">
        <v>936</v>
      </c>
      <c r="C139">
        <v>1386</v>
      </c>
      <c r="D139">
        <v>1628</v>
      </c>
      <c r="E139">
        <v>1818</v>
      </c>
      <c r="F139">
        <v>2000</v>
      </c>
      <c r="G139">
        <v>2174</v>
      </c>
    </row>
    <row r="140" spans="1:7" x14ac:dyDescent="0.2">
      <c r="A140">
        <v>7150</v>
      </c>
      <c r="B140">
        <v>942</v>
      </c>
      <c r="C140">
        <v>1394</v>
      </c>
      <c r="D140">
        <v>1637</v>
      </c>
      <c r="E140">
        <v>1828</v>
      </c>
      <c r="F140">
        <v>2011</v>
      </c>
      <c r="G140">
        <v>2186</v>
      </c>
    </row>
    <row r="141" spans="1:7" x14ac:dyDescent="0.2">
      <c r="A141">
        <v>7200</v>
      </c>
      <c r="B141">
        <v>947</v>
      </c>
      <c r="C141">
        <v>1402</v>
      </c>
      <c r="D141">
        <v>1646</v>
      </c>
      <c r="E141">
        <v>1839</v>
      </c>
      <c r="F141">
        <v>2023</v>
      </c>
      <c r="G141">
        <v>2199</v>
      </c>
    </row>
    <row r="142" spans="1:7" x14ac:dyDescent="0.2">
      <c r="A142">
        <v>7250</v>
      </c>
      <c r="B142">
        <v>953</v>
      </c>
      <c r="C142">
        <v>1410</v>
      </c>
      <c r="D142">
        <v>1656</v>
      </c>
      <c r="E142">
        <v>1849</v>
      </c>
      <c r="F142">
        <v>2034</v>
      </c>
      <c r="G142">
        <v>2211</v>
      </c>
    </row>
    <row r="143" spans="1:7" x14ac:dyDescent="0.2">
      <c r="A143">
        <v>7300</v>
      </c>
      <c r="B143">
        <v>958</v>
      </c>
      <c r="C143">
        <v>1418</v>
      </c>
      <c r="D143">
        <v>1665</v>
      </c>
      <c r="E143">
        <v>1860</v>
      </c>
      <c r="F143">
        <v>2046</v>
      </c>
      <c r="G143">
        <v>2224</v>
      </c>
    </row>
    <row r="144" spans="1:7" x14ac:dyDescent="0.2">
      <c r="A144">
        <v>7350</v>
      </c>
      <c r="B144">
        <v>964</v>
      </c>
      <c r="C144">
        <v>1426</v>
      </c>
      <c r="D144">
        <v>1674</v>
      </c>
      <c r="E144">
        <v>1870</v>
      </c>
      <c r="F144">
        <v>2057</v>
      </c>
      <c r="G144">
        <v>2236</v>
      </c>
    </row>
    <row r="145" spans="1:7" x14ac:dyDescent="0.2">
      <c r="A145">
        <v>7400</v>
      </c>
      <c r="B145">
        <v>969</v>
      </c>
      <c r="C145">
        <v>1435</v>
      </c>
      <c r="D145">
        <v>1684</v>
      </c>
      <c r="E145">
        <v>1881</v>
      </c>
      <c r="F145">
        <v>2069</v>
      </c>
      <c r="G145">
        <v>2249</v>
      </c>
    </row>
    <row r="146" spans="1:7" x14ac:dyDescent="0.2">
      <c r="A146">
        <v>7450</v>
      </c>
      <c r="B146">
        <v>975</v>
      </c>
      <c r="C146">
        <v>1443</v>
      </c>
      <c r="D146">
        <v>1693</v>
      </c>
      <c r="E146">
        <v>1891</v>
      </c>
      <c r="F146">
        <v>2080</v>
      </c>
      <c r="G146">
        <v>2261</v>
      </c>
    </row>
    <row r="147" spans="1:7" x14ac:dyDescent="0.2">
      <c r="A147">
        <v>7500</v>
      </c>
      <c r="B147">
        <v>980</v>
      </c>
      <c r="C147">
        <v>1451</v>
      </c>
      <c r="D147">
        <v>1703</v>
      </c>
      <c r="E147">
        <v>1902</v>
      </c>
      <c r="F147">
        <v>2092</v>
      </c>
      <c r="G147">
        <v>2274</v>
      </c>
    </row>
    <row r="148" spans="1:7" x14ac:dyDescent="0.2">
      <c r="A148">
        <v>7550</v>
      </c>
      <c r="B148">
        <v>986</v>
      </c>
      <c r="C148">
        <v>1459</v>
      </c>
      <c r="D148">
        <v>1712</v>
      </c>
      <c r="E148">
        <v>1912</v>
      </c>
      <c r="F148">
        <v>2104</v>
      </c>
      <c r="G148">
        <v>2287</v>
      </c>
    </row>
    <row r="149" spans="1:7" x14ac:dyDescent="0.2">
      <c r="A149">
        <v>7600</v>
      </c>
      <c r="B149">
        <v>992</v>
      </c>
      <c r="C149">
        <v>1467</v>
      </c>
      <c r="D149">
        <v>1721</v>
      </c>
      <c r="E149">
        <v>1923</v>
      </c>
      <c r="F149">
        <v>2115</v>
      </c>
      <c r="G149">
        <v>2299</v>
      </c>
    </row>
    <row r="150" spans="1:7" x14ac:dyDescent="0.2">
      <c r="A150">
        <v>7650</v>
      </c>
      <c r="B150">
        <v>997</v>
      </c>
      <c r="C150">
        <v>1475</v>
      </c>
      <c r="D150">
        <v>1731</v>
      </c>
      <c r="E150">
        <v>1933</v>
      </c>
      <c r="F150">
        <v>2127</v>
      </c>
      <c r="G150">
        <v>2312</v>
      </c>
    </row>
    <row r="151" spans="1:7" x14ac:dyDescent="0.2">
      <c r="A151">
        <v>7700</v>
      </c>
      <c r="B151">
        <v>1003</v>
      </c>
      <c r="C151">
        <v>1483</v>
      </c>
      <c r="D151">
        <v>1740</v>
      </c>
      <c r="E151">
        <v>1944</v>
      </c>
      <c r="F151">
        <v>2138</v>
      </c>
      <c r="G151">
        <v>2324</v>
      </c>
    </row>
    <row r="152" spans="1:7" x14ac:dyDescent="0.2">
      <c r="A152">
        <v>7750</v>
      </c>
      <c r="B152">
        <v>1008</v>
      </c>
      <c r="C152">
        <v>1491</v>
      </c>
      <c r="D152">
        <v>1750</v>
      </c>
      <c r="E152">
        <v>1954</v>
      </c>
      <c r="F152">
        <v>2150</v>
      </c>
      <c r="G152">
        <v>2337</v>
      </c>
    </row>
    <row r="153" spans="1:7" x14ac:dyDescent="0.2">
      <c r="A153">
        <v>7800</v>
      </c>
      <c r="B153">
        <v>1014</v>
      </c>
      <c r="C153">
        <v>1499</v>
      </c>
      <c r="D153">
        <v>1759</v>
      </c>
      <c r="E153">
        <v>1965</v>
      </c>
      <c r="F153">
        <v>2161</v>
      </c>
      <c r="G153">
        <v>2349</v>
      </c>
    </row>
    <row r="154" spans="1:7" x14ac:dyDescent="0.2">
      <c r="A154">
        <v>7850</v>
      </c>
      <c r="B154">
        <v>1019</v>
      </c>
      <c r="C154">
        <v>1508</v>
      </c>
      <c r="D154">
        <v>1768</v>
      </c>
      <c r="E154">
        <v>1975</v>
      </c>
      <c r="F154">
        <v>2173</v>
      </c>
      <c r="G154">
        <v>2362</v>
      </c>
    </row>
    <row r="155" spans="1:7" x14ac:dyDescent="0.2">
      <c r="A155">
        <v>7900</v>
      </c>
      <c r="B155">
        <v>1022</v>
      </c>
      <c r="C155">
        <v>1512</v>
      </c>
      <c r="D155">
        <v>1773</v>
      </c>
      <c r="E155">
        <v>1981</v>
      </c>
      <c r="F155">
        <v>2179</v>
      </c>
      <c r="G155">
        <v>2369</v>
      </c>
    </row>
    <row r="156" spans="1:7" x14ac:dyDescent="0.2">
      <c r="A156">
        <v>7950</v>
      </c>
      <c r="B156">
        <v>1024</v>
      </c>
      <c r="C156">
        <v>1515</v>
      </c>
      <c r="D156">
        <v>1778</v>
      </c>
      <c r="E156">
        <v>1986</v>
      </c>
      <c r="F156">
        <v>2184</v>
      </c>
      <c r="G156">
        <v>2374</v>
      </c>
    </row>
    <row r="157" spans="1:7" x14ac:dyDescent="0.2">
      <c r="A157">
        <v>8000</v>
      </c>
      <c r="B157">
        <v>1027</v>
      </c>
      <c r="C157">
        <v>1519</v>
      </c>
      <c r="D157">
        <v>1782</v>
      </c>
      <c r="E157">
        <v>1990</v>
      </c>
      <c r="F157">
        <v>2189</v>
      </c>
      <c r="G157">
        <v>2380</v>
      </c>
    </row>
    <row r="158" spans="1:7" x14ac:dyDescent="0.2">
      <c r="A158">
        <v>8050</v>
      </c>
      <c r="B158">
        <v>1029</v>
      </c>
      <c r="C158">
        <v>1522</v>
      </c>
      <c r="D158">
        <v>1786</v>
      </c>
      <c r="E158">
        <v>1995</v>
      </c>
      <c r="F158">
        <v>2194</v>
      </c>
      <c r="G158">
        <v>2385</v>
      </c>
    </row>
    <row r="159" spans="1:7" x14ac:dyDescent="0.2">
      <c r="A159">
        <v>8100</v>
      </c>
      <c r="B159">
        <v>1031</v>
      </c>
      <c r="C159">
        <v>1526</v>
      </c>
      <c r="D159">
        <v>1790</v>
      </c>
      <c r="E159">
        <v>2000</v>
      </c>
      <c r="F159">
        <v>2200</v>
      </c>
      <c r="G159">
        <v>2391</v>
      </c>
    </row>
    <row r="160" spans="1:7" x14ac:dyDescent="0.2">
      <c r="A160">
        <v>8150</v>
      </c>
      <c r="B160">
        <v>1034</v>
      </c>
      <c r="C160">
        <v>1529</v>
      </c>
      <c r="D160">
        <v>1794</v>
      </c>
      <c r="E160">
        <v>2004</v>
      </c>
      <c r="F160">
        <v>2205</v>
      </c>
      <c r="G160">
        <v>2396</v>
      </c>
    </row>
    <row r="161" spans="1:7" x14ac:dyDescent="0.2">
      <c r="A161">
        <v>8200</v>
      </c>
      <c r="B161">
        <v>1036</v>
      </c>
      <c r="C161">
        <v>1533</v>
      </c>
      <c r="D161">
        <v>1798</v>
      </c>
      <c r="E161">
        <v>2009</v>
      </c>
      <c r="F161">
        <v>2210</v>
      </c>
      <c r="G161">
        <v>2402</v>
      </c>
    </row>
    <row r="162" spans="1:7" x14ac:dyDescent="0.2">
      <c r="A162">
        <v>8250</v>
      </c>
      <c r="B162">
        <v>1038</v>
      </c>
      <c r="C162">
        <v>1536</v>
      </c>
      <c r="D162">
        <v>1803</v>
      </c>
      <c r="E162">
        <v>2014</v>
      </c>
      <c r="F162">
        <v>2215</v>
      </c>
      <c r="G162">
        <v>2408</v>
      </c>
    </row>
    <row r="163" spans="1:7" x14ac:dyDescent="0.2">
      <c r="A163">
        <v>8300</v>
      </c>
      <c r="B163">
        <v>1040</v>
      </c>
      <c r="C163">
        <v>1539</v>
      </c>
      <c r="D163">
        <v>1807</v>
      </c>
      <c r="E163">
        <v>2018</v>
      </c>
      <c r="F163">
        <v>2220</v>
      </c>
      <c r="G163">
        <v>2413</v>
      </c>
    </row>
    <row r="164" spans="1:7" x14ac:dyDescent="0.2">
      <c r="A164">
        <v>8350</v>
      </c>
      <c r="B164">
        <v>1042</v>
      </c>
      <c r="C164">
        <v>1543</v>
      </c>
      <c r="D164">
        <v>1811</v>
      </c>
      <c r="E164">
        <v>2023</v>
      </c>
      <c r="F164">
        <v>2225</v>
      </c>
      <c r="G164">
        <v>2418</v>
      </c>
    </row>
    <row r="165" spans="1:7" x14ac:dyDescent="0.2">
      <c r="A165">
        <v>8400</v>
      </c>
      <c r="B165">
        <v>1045</v>
      </c>
      <c r="C165">
        <v>1546</v>
      </c>
      <c r="D165">
        <v>1815</v>
      </c>
      <c r="E165">
        <v>2027</v>
      </c>
      <c r="F165">
        <v>2230</v>
      </c>
      <c r="G165">
        <v>2424</v>
      </c>
    </row>
    <row r="166" spans="1:7" x14ac:dyDescent="0.2">
      <c r="A166">
        <v>8450</v>
      </c>
      <c r="B166">
        <v>1047</v>
      </c>
      <c r="C166">
        <v>1549</v>
      </c>
      <c r="D166">
        <v>1819</v>
      </c>
      <c r="E166">
        <v>2032</v>
      </c>
      <c r="F166">
        <v>2235</v>
      </c>
      <c r="G166">
        <v>2429</v>
      </c>
    </row>
    <row r="167" spans="1:7" x14ac:dyDescent="0.2">
      <c r="A167">
        <v>8500</v>
      </c>
      <c r="B167">
        <v>1049</v>
      </c>
      <c r="C167">
        <v>1553</v>
      </c>
      <c r="D167">
        <v>1823</v>
      </c>
      <c r="E167">
        <v>2036</v>
      </c>
      <c r="F167">
        <v>2240</v>
      </c>
      <c r="G167">
        <v>2435</v>
      </c>
    </row>
    <row r="168" spans="1:7" x14ac:dyDescent="0.2">
      <c r="A168">
        <v>8550</v>
      </c>
      <c r="B168">
        <v>1051</v>
      </c>
      <c r="C168">
        <v>1556</v>
      </c>
      <c r="D168">
        <v>1827</v>
      </c>
      <c r="E168">
        <v>2041</v>
      </c>
      <c r="F168">
        <v>2245</v>
      </c>
      <c r="G168">
        <v>2440</v>
      </c>
    </row>
    <row r="169" spans="1:7" x14ac:dyDescent="0.2">
      <c r="A169">
        <v>8600</v>
      </c>
      <c r="B169">
        <v>1054</v>
      </c>
      <c r="C169">
        <v>1559</v>
      </c>
      <c r="D169">
        <v>1831</v>
      </c>
      <c r="E169">
        <v>2045</v>
      </c>
      <c r="F169">
        <v>2250</v>
      </c>
      <c r="G169">
        <v>2446</v>
      </c>
    </row>
    <row r="170" spans="1:7" x14ac:dyDescent="0.2">
      <c r="A170">
        <v>8650</v>
      </c>
      <c r="B170">
        <v>1056</v>
      </c>
      <c r="C170">
        <v>1563</v>
      </c>
      <c r="D170">
        <v>1835</v>
      </c>
      <c r="E170">
        <v>2050</v>
      </c>
      <c r="F170">
        <v>2255</v>
      </c>
      <c r="G170">
        <v>2451</v>
      </c>
    </row>
    <row r="171" spans="1:7" x14ac:dyDescent="0.2">
      <c r="A171">
        <v>8700</v>
      </c>
      <c r="B171">
        <v>1058</v>
      </c>
      <c r="C171">
        <v>1566</v>
      </c>
      <c r="D171">
        <v>1839</v>
      </c>
      <c r="E171">
        <v>2054</v>
      </c>
      <c r="F171">
        <v>2260</v>
      </c>
      <c r="G171">
        <v>2456</v>
      </c>
    </row>
    <row r="172" spans="1:7" x14ac:dyDescent="0.2">
      <c r="A172">
        <v>8750</v>
      </c>
      <c r="B172">
        <v>1060</v>
      </c>
      <c r="C172">
        <v>1570</v>
      </c>
      <c r="D172">
        <v>1843</v>
      </c>
      <c r="E172">
        <v>2059</v>
      </c>
      <c r="F172">
        <v>2265</v>
      </c>
      <c r="G172">
        <v>2462</v>
      </c>
    </row>
    <row r="173" spans="1:7" x14ac:dyDescent="0.2">
      <c r="A173">
        <v>8800</v>
      </c>
      <c r="B173">
        <v>1062</v>
      </c>
      <c r="C173">
        <v>1573</v>
      </c>
      <c r="D173">
        <v>1847</v>
      </c>
      <c r="E173">
        <v>2063</v>
      </c>
      <c r="F173">
        <v>2270</v>
      </c>
      <c r="G173">
        <v>2467</v>
      </c>
    </row>
    <row r="174" spans="1:7" x14ac:dyDescent="0.2">
      <c r="A174">
        <v>8850</v>
      </c>
      <c r="B174">
        <v>1065</v>
      </c>
      <c r="C174">
        <v>1576</v>
      </c>
      <c r="D174">
        <v>1851</v>
      </c>
      <c r="E174">
        <v>2068</v>
      </c>
      <c r="F174">
        <v>2275</v>
      </c>
      <c r="G174">
        <v>2473</v>
      </c>
    </row>
    <row r="175" spans="1:7" x14ac:dyDescent="0.2">
      <c r="A175">
        <v>8900</v>
      </c>
      <c r="B175">
        <v>1067</v>
      </c>
      <c r="C175">
        <v>1581</v>
      </c>
      <c r="D175">
        <v>1856</v>
      </c>
      <c r="E175">
        <v>2073</v>
      </c>
      <c r="F175">
        <v>2281</v>
      </c>
      <c r="G175">
        <v>2479</v>
      </c>
    </row>
    <row r="176" spans="1:7" x14ac:dyDescent="0.2">
      <c r="A176">
        <v>8950</v>
      </c>
      <c r="B176">
        <v>1072</v>
      </c>
      <c r="C176">
        <v>1587</v>
      </c>
      <c r="D176">
        <v>1863</v>
      </c>
      <c r="E176">
        <v>2081</v>
      </c>
      <c r="F176">
        <v>2289</v>
      </c>
      <c r="G176">
        <v>2488</v>
      </c>
    </row>
    <row r="177" spans="1:7" x14ac:dyDescent="0.2">
      <c r="A177">
        <v>9000</v>
      </c>
      <c r="B177">
        <v>1076</v>
      </c>
      <c r="C177">
        <v>1593</v>
      </c>
      <c r="D177">
        <v>1870</v>
      </c>
      <c r="E177">
        <v>2088</v>
      </c>
      <c r="F177">
        <v>2297</v>
      </c>
      <c r="G177">
        <v>2497</v>
      </c>
    </row>
    <row r="178" spans="1:7" x14ac:dyDescent="0.2">
      <c r="A178">
        <v>9050</v>
      </c>
      <c r="B178">
        <v>1080</v>
      </c>
      <c r="C178">
        <v>1599</v>
      </c>
      <c r="D178">
        <v>1876</v>
      </c>
      <c r="E178">
        <v>2096</v>
      </c>
      <c r="F178">
        <v>2305</v>
      </c>
      <c r="G178">
        <v>2506</v>
      </c>
    </row>
    <row r="179" spans="1:7" x14ac:dyDescent="0.2">
      <c r="A179">
        <v>9100</v>
      </c>
      <c r="B179">
        <v>1085</v>
      </c>
      <c r="C179">
        <v>1605</v>
      </c>
      <c r="D179">
        <v>1883</v>
      </c>
      <c r="E179">
        <v>2103</v>
      </c>
      <c r="F179">
        <v>2314</v>
      </c>
      <c r="G179">
        <v>2515</v>
      </c>
    </row>
    <row r="180" spans="1:7" x14ac:dyDescent="0.2">
      <c r="A180">
        <v>9150</v>
      </c>
      <c r="B180">
        <v>1089</v>
      </c>
      <c r="C180">
        <v>1611</v>
      </c>
      <c r="D180">
        <v>1890</v>
      </c>
      <c r="E180">
        <v>2111</v>
      </c>
      <c r="F180">
        <v>2322</v>
      </c>
      <c r="G180">
        <v>2524</v>
      </c>
    </row>
    <row r="181" spans="1:7" x14ac:dyDescent="0.2">
      <c r="A181">
        <v>9200</v>
      </c>
      <c r="B181">
        <v>1093</v>
      </c>
      <c r="C181">
        <v>1617</v>
      </c>
      <c r="D181">
        <v>1896</v>
      </c>
      <c r="E181">
        <v>2118</v>
      </c>
      <c r="F181">
        <v>2330</v>
      </c>
      <c r="G181">
        <v>2533</v>
      </c>
    </row>
    <row r="182" spans="1:7" x14ac:dyDescent="0.2">
      <c r="A182">
        <v>9250</v>
      </c>
      <c r="B182">
        <v>1097</v>
      </c>
      <c r="C182">
        <v>1623</v>
      </c>
      <c r="D182">
        <v>1903</v>
      </c>
      <c r="E182">
        <v>2126</v>
      </c>
      <c r="F182">
        <v>2338</v>
      </c>
      <c r="G182">
        <v>2542</v>
      </c>
    </row>
    <row r="183" spans="1:7" x14ac:dyDescent="0.2">
      <c r="A183">
        <v>9300</v>
      </c>
      <c r="B183">
        <v>1102</v>
      </c>
      <c r="C183">
        <v>1629</v>
      </c>
      <c r="D183">
        <v>1910</v>
      </c>
      <c r="E183">
        <v>2133</v>
      </c>
      <c r="F183">
        <v>2347</v>
      </c>
      <c r="G183">
        <v>2551</v>
      </c>
    </row>
    <row r="184" spans="1:7" x14ac:dyDescent="0.2">
      <c r="A184">
        <v>9350</v>
      </c>
      <c r="B184">
        <v>1106</v>
      </c>
      <c r="C184">
        <v>1635</v>
      </c>
      <c r="D184">
        <v>1916</v>
      </c>
      <c r="E184">
        <v>2141</v>
      </c>
      <c r="F184">
        <v>2355</v>
      </c>
      <c r="G184">
        <v>2560</v>
      </c>
    </row>
    <row r="185" spans="1:7" x14ac:dyDescent="0.2">
      <c r="A185">
        <v>9400</v>
      </c>
      <c r="B185">
        <v>1110</v>
      </c>
      <c r="C185">
        <v>1641</v>
      </c>
      <c r="D185">
        <v>1923</v>
      </c>
      <c r="E185">
        <v>2148</v>
      </c>
      <c r="F185">
        <v>2363</v>
      </c>
      <c r="G185">
        <v>2569</v>
      </c>
    </row>
    <row r="186" spans="1:7" x14ac:dyDescent="0.2">
      <c r="A186">
        <v>9450</v>
      </c>
      <c r="B186">
        <v>1114</v>
      </c>
      <c r="C186">
        <v>1647</v>
      </c>
      <c r="D186">
        <v>1930</v>
      </c>
      <c r="E186">
        <v>2156</v>
      </c>
      <c r="F186">
        <v>2371</v>
      </c>
      <c r="G186">
        <v>2577</v>
      </c>
    </row>
    <row r="187" spans="1:7" x14ac:dyDescent="0.2">
      <c r="A187">
        <v>9500</v>
      </c>
      <c r="B187">
        <v>1119</v>
      </c>
      <c r="C187">
        <v>1653</v>
      </c>
      <c r="D187">
        <v>1936</v>
      </c>
      <c r="E187">
        <v>2163</v>
      </c>
      <c r="F187">
        <v>2379</v>
      </c>
      <c r="G187">
        <v>2586</v>
      </c>
    </row>
    <row r="188" spans="1:7" x14ac:dyDescent="0.2">
      <c r="A188">
        <v>9550</v>
      </c>
      <c r="B188">
        <v>1123</v>
      </c>
      <c r="C188">
        <v>1659</v>
      </c>
      <c r="D188">
        <v>1943</v>
      </c>
      <c r="E188">
        <v>2171</v>
      </c>
      <c r="F188">
        <v>2388</v>
      </c>
      <c r="G188">
        <v>2595</v>
      </c>
    </row>
    <row r="189" spans="1:7" x14ac:dyDescent="0.2">
      <c r="A189">
        <v>9600</v>
      </c>
      <c r="B189">
        <v>1127</v>
      </c>
      <c r="C189">
        <v>1664</v>
      </c>
      <c r="D189">
        <v>1949</v>
      </c>
      <c r="E189">
        <v>2177</v>
      </c>
      <c r="F189">
        <v>2394</v>
      </c>
      <c r="G189">
        <v>2603</v>
      </c>
    </row>
    <row r="190" spans="1:7" x14ac:dyDescent="0.2">
      <c r="A190">
        <v>9650</v>
      </c>
      <c r="B190">
        <v>1130</v>
      </c>
      <c r="C190">
        <v>1668</v>
      </c>
      <c r="D190">
        <v>1953</v>
      </c>
      <c r="E190">
        <v>2181</v>
      </c>
      <c r="F190">
        <v>2400</v>
      </c>
      <c r="G190">
        <v>2608</v>
      </c>
    </row>
    <row r="191" spans="1:7" x14ac:dyDescent="0.2">
      <c r="A191">
        <v>9700</v>
      </c>
      <c r="B191">
        <v>1134</v>
      </c>
      <c r="C191">
        <v>1673</v>
      </c>
      <c r="D191">
        <v>1957</v>
      </c>
      <c r="E191">
        <v>2186</v>
      </c>
      <c r="F191">
        <v>2405</v>
      </c>
      <c r="G191">
        <v>2614</v>
      </c>
    </row>
    <row r="192" spans="1:7" x14ac:dyDescent="0.2">
      <c r="A192">
        <v>9750</v>
      </c>
      <c r="B192">
        <v>1137</v>
      </c>
      <c r="C192">
        <v>1677</v>
      </c>
      <c r="D192">
        <v>1962</v>
      </c>
      <c r="E192">
        <v>2191</v>
      </c>
      <c r="F192">
        <v>2410</v>
      </c>
      <c r="G192">
        <v>2620</v>
      </c>
    </row>
    <row r="193" spans="1:7" x14ac:dyDescent="0.2">
      <c r="A193">
        <v>9800</v>
      </c>
      <c r="B193">
        <v>1141</v>
      </c>
      <c r="C193">
        <v>1682</v>
      </c>
      <c r="D193">
        <v>1966</v>
      </c>
      <c r="E193">
        <v>2196</v>
      </c>
      <c r="F193">
        <v>2416</v>
      </c>
      <c r="G193">
        <v>2626</v>
      </c>
    </row>
    <row r="194" spans="1:7" x14ac:dyDescent="0.2">
      <c r="A194">
        <v>9850</v>
      </c>
      <c r="B194">
        <v>1144</v>
      </c>
      <c r="C194">
        <v>1686</v>
      </c>
      <c r="D194">
        <v>1970</v>
      </c>
      <c r="E194">
        <v>2201</v>
      </c>
      <c r="F194">
        <v>2421</v>
      </c>
      <c r="G194">
        <v>2632</v>
      </c>
    </row>
    <row r="195" spans="1:7" x14ac:dyDescent="0.2">
      <c r="A195">
        <v>9900</v>
      </c>
      <c r="B195">
        <v>1148</v>
      </c>
      <c r="C195">
        <v>1691</v>
      </c>
      <c r="D195">
        <v>1975</v>
      </c>
      <c r="E195">
        <v>2206</v>
      </c>
      <c r="F195">
        <v>2426</v>
      </c>
      <c r="G195">
        <v>2638</v>
      </c>
    </row>
    <row r="196" spans="1:7" x14ac:dyDescent="0.2">
      <c r="A196">
        <v>9950</v>
      </c>
      <c r="B196">
        <v>1151</v>
      </c>
      <c r="C196">
        <v>1695</v>
      </c>
      <c r="D196">
        <v>1979</v>
      </c>
      <c r="E196">
        <v>2211</v>
      </c>
      <c r="F196">
        <v>2432</v>
      </c>
      <c r="G196">
        <v>2643</v>
      </c>
    </row>
    <row r="197" spans="1:7" x14ac:dyDescent="0.2">
      <c r="A197">
        <v>10000</v>
      </c>
      <c r="B197">
        <v>1155</v>
      </c>
      <c r="C197">
        <v>1700</v>
      </c>
      <c r="D197">
        <v>1984</v>
      </c>
      <c r="E197">
        <v>2216</v>
      </c>
      <c r="F197">
        <v>2437</v>
      </c>
      <c r="G197">
        <v>2649</v>
      </c>
    </row>
    <row r="198" spans="1:7" x14ac:dyDescent="0.2">
      <c r="A198">
        <v>10050</v>
      </c>
      <c r="B198">
        <v>1158</v>
      </c>
      <c r="C198">
        <v>1704</v>
      </c>
      <c r="D198">
        <v>1988</v>
      </c>
      <c r="E198">
        <v>2220</v>
      </c>
      <c r="F198">
        <v>2443</v>
      </c>
      <c r="G198">
        <v>2655</v>
      </c>
    </row>
    <row r="199" spans="1:7" x14ac:dyDescent="0.2">
      <c r="A199">
        <v>10100</v>
      </c>
      <c r="B199">
        <v>1162</v>
      </c>
      <c r="C199">
        <v>1708</v>
      </c>
      <c r="D199">
        <v>1992</v>
      </c>
      <c r="E199">
        <v>2225</v>
      </c>
      <c r="F199">
        <v>2448</v>
      </c>
      <c r="G199">
        <v>2661</v>
      </c>
    </row>
    <row r="200" spans="1:7" x14ac:dyDescent="0.2">
      <c r="A200">
        <v>10150</v>
      </c>
      <c r="B200">
        <v>1165</v>
      </c>
      <c r="C200">
        <v>1713</v>
      </c>
      <c r="D200">
        <v>1997</v>
      </c>
      <c r="E200">
        <v>2230</v>
      </c>
      <c r="F200">
        <v>2453</v>
      </c>
      <c r="G200">
        <v>2667</v>
      </c>
    </row>
    <row r="201" spans="1:7" x14ac:dyDescent="0.2">
      <c r="A201">
        <v>10200</v>
      </c>
      <c r="B201">
        <v>1169</v>
      </c>
      <c r="C201">
        <v>1717</v>
      </c>
      <c r="D201">
        <v>2001</v>
      </c>
      <c r="E201">
        <v>2235</v>
      </c>
      <c r="F201">
        <v>2459</v>
      </c>
      <c r="G201">
        <v>2672</v>
      </c>
    </row>
    <row r="202" spans="1:7" x14ac:dyDescent="0.2">
      <c r="A202">
        <v>10250</v>
      </c>
      <c r="B202">
        <v>1172</v>
      </c>
      <c r="C202">
        <v>1722</v>
      </c>
      <c r="D202">
        <v>2005</v>
      </c>
      <c r="E202">
        <v>2240</v>
      </c>
      <c r="F202">
        <v>2464</v>
      </c>
      <c r="G202">
        <v>2678</v>
      </c>
    </row>
    <row r="203" spans="1:7" x14ac:dyDescent="0.2">
      <c r="A203">
        <v>10300</v>
      </c>
      <c r="B203">
        <v>1176</v>
      </c>
      <c r="C203">
        <v>1726</v>
      </c>
      <c r="D203">
        <v>2010</v>
      </c>
      <c r="E203">
        <v>2245</v>
      </c>
      <c r="F203">
        <v>2469</v>
      </c>
      <c r="G203">
        <v>2684</v>
      </c>
    </row>
    <row r="204" spans="1:7" x14ac:dyDescent="0.2">
      <c r="A204">
        <v>10350</v>
      </c>
      <c r="B204">
        <v>1179</v>
      </c>
      <c r="C204">
        <v>1731</v>
      </c>
      <c r="D204">
        <v>2014</v>
      </c>
      <c r="E204">
        <v>2250</v>
      </c>
      <c r="F204">
        <v>2475</v>
      </c>
      <c r="G204">
        <v>2690</v>
      </c>
    </row>
    <row r="205" spans="1:7" x14ac:dyDescent="0.2">
      <c r="A205">
        <v>10400</v>
      </c>
      <c r="B205">
        <v>1183</v>
      </c>
      <c r="C205">
        <v>1735</v>
      </c>
      <c r="D205">
        <v>2018</v>
      </c>
      <c r="E205">
        <v>2255</v>
      </c>
      <c r="F205">
        <v>2480</v>
      </c>
      <c r="G205">
        <v>2696</v>
      </c>
    </row>
    <row r="206" spans="1:7" x14ac:dyDescent="0.2">
      <c r="A206">
        <v>10450</v>
      </c>
      <c r="B206">
        <v>1186</v>
      </c>
      <c r="C206">
        <v>1740</v>
      </c>
      <c r="D206">
        <v>2023</v>
      </c>
      <c r="E206">
        <v>2259</v>
      </c>
      <c r="F206">
        <v>2485</v>
      </c>
      <c r="G206">
        <v>2702</v>
      </c>
    </row>
    <row r="207" spans="1:7" x14ac:dyDescent="0.2">
      <c r="A207">
        <v>10500</v>
      </c>
      <c r="B207">
        <v>1190</v>
      </c>
      <c r="C207">
        <v>1744</v>
      </c>
      <c r="D207">
        <v>2027</v>
      </c>
      <c r="E207">
        <v>2264</v>
      </c>
      <c r="F207">
        <v>2491</v>
      </c>
      <c r="G207">
        <v>2707</v>
      </c>
    </row>
    <row r="208" spans="1:7" x14ac:dyDescent="0.2">
      <c r="A208">
        <v>10550</v>
      </c>
      <c r="B208">
        <v>1193</v>
      </c>
      <c r="C208">
        <v>1749</v>
      </c>
      <c r="D208">
        <v>2031</v>
      </c>
      <c r="E208">
        <v>2269</v>
      </c>
      <c r="F208">
        <v>2496</v>
      </c>
      <c r="G208">
        <v>2713</v>
      </c>
    </row>
    <row r="209" spans="1:7" x14ac:dyDescent="0.2">
      <c r="A209">
        <v>10600</v>
      </c>
      <c r="B209">
        <v>1196</v>
      </c>
      <c r="C209">
        <v>1753</v>
      </c>
      <c r="D209">
        <v>2036</v>
      </c>
      <c r="E209">
        <v>2274</v>
      </c>
      <c r="F209">
        <v>2501</v>
      </c>
      <c r="G209">
        <v>2719</v>
      </c>
    </row>
    <row r="210" spans="1:7" x14ac:dyDescent="0.2">
      <c r="A210">
        <v>10650</v>
      </c>
      <c r="B210">
        <v>1200</v>
      </c>
      <c r="C210">
        <v>1758</v>
      </c>
      <c r="D210">
        <v>2041</v>
      </c>
      <c r="E210">
        <v>2279</v>
      </c>
      <c r="F210">
        <v>2507</v>
      </c>
      <c r="G210">
        <v>2726</v>
      </c>
    </row>
    <row r="211" spans="1:7" x14ac:dyDescent="0.2">
      <c r="A211">
        <v>10700</v>
      </c>
      <c r="B211">
        <v>1203</v>
      </c>
      <c r="C211">
        <v>1762</v>
      </c>
      <c r="D211">
        <v>2046</v>
      </c>
      <c r="E211">
        <v>2285</v>
      </c>
      <c r="F211">
        <v>2514</v>
      </c>
      <c r="G211">
        <v>2732</v>
      </c>
    </row>
    <row r="212" spans="1:7" x14ac:dyDescent="0.2">
      <c r="A212">
        <v>10750</v>
      </c>
      <c r="B212">
        <v>1206</v>
      </c>
      <c r="C212">
        <v>1767</v>
      </c>
      <c r="D212">
        <v>2051</v>
      </c>
      <c r="E212">
        <v>2291</v>
      </c>
      <c r="F212">
        <v>2520</v>
      </c>
      <c r="G212">
        <v>2739</v>
      </c>
    </row>
    <row r="213" spans="1:7" x14ac:dyDescent="0.2">
      <c r="A213">
        <v>10800</v>
      </c>
      <c r="B213">
        <v>1209</v>
      </c>
      <c r="C213">
        <v>1771</v>
      </c>
      <c r="D213">
        <v>2056</v>
      </c>
      <c r="E213">
        <v>2296</v>
      </c>
      <c r="F213">
        <v>2526</v>
      </c>
      <c r="G213">
        <v>2746</v>
      </c>
    </row>
    <row r="214" spans="1:7" x14ac:dyDescent="0.2">
      <c r="A214">
        <v>10850</v>
      </c>
      <c r="B214">
        <v>1213</v>
      </c>
      <c r="C214">
        <v>1776</v>
      </c>
      <c r="D214">
        <v>2061</v>
      </c>
      <c r="E214">
        <v>2302</v>
      </c>
      <c r="F214">
        <v>2532</v>
      </c>
      <c r="G214">
        <v>2752</v>
      </c>
    </row>
    <row r="215" spans="1:7" x14ac:dyDescent="0.2">
      <c r="A215">
        <v>10900</v>
      </c>
      <c r="B215">
        <v>1216</v>
      </c>
      <c r="C215">
        <v>1780</v>
      </c>
      <c r="D215">
        <v>2066</v>
      </c>
      <c r="E215">
        <v>2307</v>
      </c>
      <c r="F215">
        <v>2538</v>
      </c>
      <c r="G215">
        <v>2759</v>
      </c>
    </row>
    <row r="216" spans="1:7" x14ac:dyDescent="0.2">
      <c r="A216">
        <v>10950</v>
      </c>
      <c r="B216">
        <v>1219</v>
      </c>
      <c r="C216">
        <v>1785</v>
      </c>
      <c r="D216">
        <v>2071</v>
      </c>
      <c r="E216">
        <v>2313</v>
      </c>
      <c r="F216">
        <v>2544</v>
      </c>
      <c r="G216">
        <v>2766</v>
      </c>
    </row>
    <row r="217" spans="1:7" x14ac:dyDescent="0.2">
      <c r="A217">
        <v>11000</v>
      </c>
      <c r="B217">
        <v>1222</v>
      </c>
      <c r="C217">
        <v>1789</v>
      </c>
      <c r="D217">
        <v>2076</v>
      </c>
      <c r="E217">
        <v>2318</v>
      </c>
      <c r="F217">
        <v>2550</v>
      </c>
      <c r="G217">
        <v>2772</v>
      </c>
    </row>
    <row r="218" spans="1:7" x14ac:dyDescent="0.2">
      <c r="A218">
        <v>11050</v>
      </c>
      <c r="B218">
        <v>1226</v>
      </c>
      <c r="C218">
        <v>1794</v>
      </c>
      <c r="D218">
        <v>2081</v>
      </c>
      <c r="E218">
        <v>2324</v>
      </c>
      <c r="F218">
        <v>2556</v>
      </c>
      <c r="G218">
        <v>2779</v>
      </c>
    </row>
    <row r="219" spans="1:7" x14ac:dyDescent="0.2">
      <c r="A219">
        <v>11100</v>
      </c>
      <c r="B219">
        <v>1229</v>
      </c>
      <c r="C219">
        <v>1798</v>
      </c>
      <c r="D219">
        <v>2086</v>
      </c>
      <c r="E219">
        <v>2330</v>
      </c>
      <c r="F219">
        <v>2563</v>
      </c>
      <c r="G219">
        <v>2786</v>
      </c>
    </row>
    <row r="220" spans="1:7" x14ac:dyDescent="0.2">
      <c r="A220">
        <v>11150</v>
      </c>
      <c r="B220">
        <v>1232</v>
      </c>
      <c r="C220">
        <v>1803</v>
      </c>
      <c r="D220">
        <v>2091</v>
      </c>
      <c r="E220">
        <v>2335</v>
      </c>
      <c r="F220">
        <v>2569</v>
      </c>
      <c r="G220">
        <v>2792</v>
      </c>
    </row>
    <row r="221" spans="1:7" x14ac:dyDescent="0.2">
      <c r="A221">
        <v>11200</v>
      </c>
      <c r="B221">
        <v>1235</v>
      </c>
      <c r="C221">
        <v>1807</v>
      </c>
      <c r="D221">
        <v>2096</v>
      </c>
      <c r="E221">
        <v>2341</v>
      </c>
      <c r="F221">
        <v>2575</v>
      </c>
      <c r="G221">
        <v>2799</v>
      </c>
    </row>
    <row r="222" spans="1:7" x14ac:dyDescent="0.2">
      <c r="A222">
        <v>11250</v>
      </c>
      <c r="B222">
        <v>1239</v>
      </c>
      <c r="C222">
        <v>1812</v>
      </c>
      <c r="D222">
        <v>2101</v>
      </c>
      <c r="E222">
        <v>2346</v>
      </c>
      <c r="F222">
        <v>2581</v>
      </c>
      <c r="G222">
        <v>2806</v>
      </c>
    </row>
    <row r="223" spans="1:7" x14ac:dyDescent="0.2">
      <c r="A223">
        <v>11300</v>
      </c>
      <c r="B223">
        <v>1242</v>
      </c>
      <c r="C223">
        <v>1816</v>
      </c>
      <c r="D223">
        <v>2106</v>
      </c>
      <c r="E223">
        <v>2352</v>
      </c>
      <c r="F223">
        <v>2587</v>
      </c>
      <c r="G223">
        <v>2812</v>
      </c>
    </row>
    <row r="224" spans="1:7" x14ac:dyDescent="0.2">
      <c r="A224">
        <v>11350</v>
      </c>
      <c r="B224">
        <v>1245</v>
      </c>
      <c r="C224">
        <v>1821</v>
      </c>
      <c r="D224">
        <v>2111</v>
      </c>
      <c r="E224">
        <v>2357</v>
      </c>
      <c r="F224">
        <v>2593</v>
      </c>
      <c r="G224">
        <v>2819</v>
      </c>
    </row>
    <row r="225" spans="1:7" x14ac:dyDescent="0.2">
      <c r="A225">
        <v>11400</v>
      </c>
      <c r="B225">
        <v>1248</v>
      </c>
      <c r="C225">
        <v>1825</v>
      </c>
      <c r="D225">
        <v>2116</v>
      </c>
      <c r="E225">
        <v>2363</v>
      </c>
      <c r="F225">
        <v>2599</v>
      </c>
      <c r="G225">
        <v>2826</v>
      </c>
    </row>
    <row r="226" spans="1:7" x14ac:dyDescent="0.2">
      <c r="A226">
        <v>11450</v>
      </c>
      <c r="B226">
        <v>1252</v>
      </c>
      <c r="C226">
        <v>1830</v>
      </c>
      <c r="D226">
        <v>2121</v>
      </c>
      <c r="E226">
        <v>2369</v>
      </c>
      <c r="F226">
        <v>2606</v>
      </c>
      <c r="G226">
        <v>2832</v>
      </c>
    </row>
    <row r="227" spans="1:7" x14ac:dyDescent="0.2">
      <c r="A227">
        <v>11500</v>
      </c>
      <c r="B227">
        <v>1255</v>
      </c>
      <c r="C227">
        <v>1835</v>
      </c>
      <c r="D227">
        <v>2126</v>
      </c>
      <c r="E227">
        <v>2374</v>
      </c>
      <c r="F227">
        <v>2612</v>
      </c>
      <c r="G227">
        <v>2839</v>
      </c>
    </row>
    <row r="228" spans="1:7" x14ac:dyDescent="0.2">
      <c r="A228">
        <v>11550</v>
      </c>
      <c r="B228">
        <v>1258</v>
      </c>
      <c r="C228">
        <v>1839</v>
      </c>
      <c r="D228">
        <v>2131</v>
      </c>
      <c r="E228">
        <v>2380</v>
      </c>
      <c r="F228">
        <v>2618</v>
      </c>
      <c r="G228">
        <v>2846</v>
      </c>
    </row>
    <row r="229" spans="1:7" x14ac:dyDescent="0.2">
      <c r="A229">
        <v>11600</v>
      </c>
      <c r="B229">
        <v>1261</v>
      </c>
      <c r="C229">
        <v>1844</v>
      </c>
      <c r="D229">
        <v>2135</v>
      </c>
      <c r="E229">
        <v>2385</v>
      </c>
      <c r="F229">
        <v>2624</v>
      </c>
      <c r="G229">
        <v>2852</v>
      </c>
    </row>
    <row r="230" spans="1:7" x14ac:dyDescent="0.2">
      <c r="A230">
        <v>11650</v>
      </c>
      <c r="B230">
        <v>1265</v>
      </c>
      <c r="C230">
        <v>1848</v>
      </c>
      <c r="D230">
        <v>2140</v>
      </c>
      <c r="E230">
        <v>2391</v>
      </c>
      <c r="F230">
        <v>2630</v>
      </c>
      <c r="G230">
        <v>2859</v>
      </c>
    </row>
    <row r="231" spans="1:7" x14ac:dyDescent="0.2">
      <c r="A231">
        <v>11700</v>
      </c>
      <c r="B231">
        <v>1268</v>
      </c>
      <c r="C231">
        <v>1853</v>
      </c>
      <c r="D231">
        <v>2145</v>
      </c>
      <c r="E231">
        <v>2396</v>
      </c>
      <c r="F231">
        <v>2636</v>
      </c>
      <c r="G231">
        <v>2865</v>
      </c>
    </row>
    <row r="232" spans="1:7" x14ac:dyDescent="0.2">
      <c r="A232">
        <v>11750</v>
      </c>
      <c r="B232">
        <v>1271</v>
      </c>
      <c r="C232">
        <v>1857</v>
      </c>
      <c r="D232">
        <v>2150</v>
      </c>
      <c r="E232">
        <v>2402</v>
      </c>
      <c r="F232">
        <v>2642</v>
      </c>
      <c r="G232">
        <v>2872</v>
      </c>
    </row>
    <row r="233" spans="1:7" x14ac:dyDescent="0.2">
      <c r="A233">
        <v>11800</v>
      </c>
      <c r="B233">
        <v>1274</v>
      </c>
      <c r="C233">
        <v>1862</v>
      </c>
      <c r="D233">
        <v>2155</v>
      </c>
      <c r="E233">
        <v>2408</v>
      </c>
      <c r="F233">
        <v>2648</v>
      </c>
      <c r="G233">
        <v>2879</v>
      </c>
    </row>
    <row r="234" spans="1:7" x14ac:dyDescent="0.2">
      <c r="A234">
        <v>11850</v>
      </c>
      <c r="B234">
        <v>1277</v>
      </c>
      <c r="C234">
        <v>1866</v>
      </c>
      <c r="D234">
        <v>2160</v>
      </c>
      <c r="E234">
        <v>2413</v>
      </c>
      <c r="F234">
        <v>2655</v>
      </c>
      <c r="G234">
        <v>2885</v>
      </c>
    </row>
    <row r="235" spans="1:7" x14ac:dyDescent="0.2">
      <c r="A235">
        <v>11900</v>
      </c>
      <c r="B235">
        <v>1281</v>
      </c>
      <c r="C235">
        <v>1871</v>
      </c>
      <c r="D235">
        <v>2165</v>
      </c>
      <c r="E235">
        <v>2419</v>
      </c>
      <c r="F235">
        <v>2661</v>
      </c>
      <c r="G235">
        <v>2892</v>
      </c>
    </row>
    <row r="236" spans="1:7" x14ac:dyDescent="0.2">
      <c r="A236">
        <v>11950</v>
      </c>
      <c r="B236">
        <v>1284</v>
      </c>
      <c r="C236">
        <v>1876</v>
      </c>
      <c r="D236">
        <v>2171</v>
      </c>
      <c r="E236">
        <v>2425</v>
      </c>
      <c r="F236">
        <v>2667</v>
      </c>
      <c r="G236">
        <v>2899</v>
      </c>
    </row>
    <row r="237" spans="1:7" x14ac:dyDescent="0.2">
      <c r="A237">
        <v>12000</v>
      </c>
      <c r="B237">
        <v>1288</v>
      </c>
      <c r="C237">
        <v>1881</v>
      </c>
      <c r="D237">
        <v>2177</v>
      </c>
      <c r="E237">
        <v>2432</v>
      </c>
      <c r="F237">
        <v>2675</v>
      </c>
      <c r="G237">
        <v>2908</v>
      </c>
    </row>
    <row r="238" spans="1:7" x14ac:dyDescent="0.2">
      <c r="A238">
        <v>12050</v>
      </c>
      <c r="B238">
        <v>1293</v>
      </c>
      <c r="C238">
        <v>1888</v>
      </c>
      <c r="D238">
        <v>2185</v>
      </c>
      <c r="E238">
        <v>2441</v>
      </c>
      <c r="F238">
        <v>2685</v>
      </c>
      <c r="G238">
        <v>2918</v>
      </c>
    </row>
    <row r="239" spans="1:7" x14ac:dyDescent="0.2">
      <c r="A239">
        <v>12100</v>
      </c>
      <c r="B239">
        <v>1298</v>
      </c>
      <c r="C239">
        <v>1895</v>
      </c>
      <c r="D239">
        <v>2193</v>
      </c>
      <c r="E239">
        <v>2450</v>
      </c>
      <c r="F239">
        <v>2695</v>
      </c>
      <c r="G239">
        <v>2929</v>
      </c>
    </row>
    <row r="240" spans="1:7" x14ac:dyDescent="0.2">
      <c r="A240">
        <v>12150</v>
      </c>
      <c r="B240">
        <v>1303</v>
      </c>
      <c r="C240">
        <v>1902</v>
      </c>
      <c r="D240">
        <v>2201</v>
      </c>
      <c r="E240">
        <v>2458</v>
      </c>
      <c r="F240">
        <v>2704</v>
      </c>
      <c r="G240">
        <v>2940</v>
      </c>
    </row>
    <row r="241" spans="1:7" x14ac:dyDescent="0.2">
      <c r="A241">
        <v>12200</v>
      </c>
      <c r="B241">
        <v>1308</v>
      </c>
      <c r="C241">
        <v>1909</v>
      </c>
      <c r="D241">
        <v>2209</v>
      </c>
      <c r="E241">
        <v>2467</v>
      </c>
      <c r="F241">
        <v>2714</v>
      </c>
      <c r="G241">
        <v>2950</v>
      </c>
    </row>
    <row r="242" spans="1:7" x14ac:dyDescent="0.2">
      <c r="A242">
        <v>12250</v>
      </c>
      <c r="B242">
        <v>1313</v>
      </c>
      <c r="C242">
        <v>1916</v>
      </c>
      <c r="D242">
        <v>2217</v>
      </c>
      <c r="E242">
        <v>2476</v>
      </c>
      <c r="F242">
        <v>2724</v>
      </c>
      <c r="G242">
        <v>2961</v>
      </c>
    </row>
    <row r="243" spans="1:7" x14ac:dyDescent="0.2">
      <c r="A243">
        <v>12300</v>
      </c>
      <c r="B243">
        <v>1317</v>
      </c>
      <c r="C243">
        <v>1923</v>
      </c>
      <c r="D243">
        <v>2225</v>
      </c>
      <c r="E243">
        <v>2485</v>
      </c>
      <c r="F243">
        <v>2734</v>
      </c>
      <c r="G243">
        <v>2971</v>
      </c>
    </row>
    <row r="244" spans="1:7" x14ac:dyDescent="0.2">
      <c r="A244">
        <v>12350</v>
      </c>
      <c r="B244">
        <v>1322</v>
      </c>
      <c r="C244">
        <v>1930</v>
      </c>
      <c r="D244">
        <v>2233</v>
      </c>
      <c r="E244">
        <v>2494</v>
      </c>
      <c r="F244">
        <v>2743</v>
      </c>
      <c r="G244">
        <v>2982</v>
      </c>
    </row>
    <row r="245" spans="1:7" x14ac:dyDescent="0.2">
      <c r="A245">
        <v>12400</v>
      </c>
      <c r="B245">
        <v>1327</v>
      </c>
      <c r="C245">
        <v>1937</v>
      </c>
      <c r="D245">
        <v>2241</v>
      </c>
      <c r="E245">
        <v>2503</v>
      </c>
      <c r="F245">
        <v>2753</v>
      </c>
      <c r="G245">
        <v>2992</v>
      </c>
    </row>
    <row r="246" spans="1:7" x14ac:dyDescent="0.2">
      <c r="A246">
        <v>12450</v>
      </c>
      <c r="B246">
        <v>1332</v>
      </c>
      <c r="C246">
        <v>1944</v>
      </c>
      <c r="D246">
        <v>2248</v>
      </c>
      <c r="E246">
        <v>2512</v>
      </c>
      <c r="F246">
        <v>2763</v>
      </c>
      <c r="G246">
        <v>3003</v>
      </c>
    </row>
    <row r="247" spans="1:7" x14ac:dyDescent="0.2">
      <c r="A247">
        <v>12500</v>
      </c>
      <c r="B247">
        <v>1337</v>
      </c>
      <c r="C247">
        <v>1951</v>
      </c>
      <c r="D247">
        <v>2256</v>
      </c>
      <c r="E247">
        <v>2520</v>
      </c>
      <c r="F247">
        <v>2772</v>
      </c>
      <c r="G247">
        <v>3014</v>
      </c>
    </row>
    <row r="248" spans="1:7" x14ac:dyDescent="0.2">
      <c r="A248">
        <v>12550</v>
      </c>
      <c r="B248">
        <v>1342</v>
      </c>
      <c r="C248">
        <v>1958</v>
      </c>
      <c r="D248">
        <v>2264</v>
      </c>
      <c r="E248">
        <v>2529</v>
      </c>
      <c r="F248">
        <v>2782</v>
      </c>
      <c r="G248">
        <v>3024</v>
      </c>
    </row>
    <row r="249" spans="1:7" x14ac:dyDescent="0.2">
      <c r="A249">
        <v>12600</v>
      </c>
      <c r="B249">
        <v>1347</v>
      </c>
      <c r="C249">
        <v>1965</v>
      </c>
      <c r="D249">
        <v>2272</v>
      </c>
      <c r="E249">
        <v>2538</v>
      </c>
      <c r="F249">
        <v>2792</v>
      </c>
      <c r="G249">
        <v>3035</v>
      </c>
    </row>
    <row r="250" spans="1:7" x14ac:dyDescent="0.2">
      <c r="A250">
        <v>12650</v>
      </c>
      <c r="B250">
        <v>1352</v>
      </c>
      <c r="C250">
        <v>1972</v>
      </c>
      <c r="D250">
        <v>2280</v>
      </c>
      <c r="E250">
        <v>2547</v>
      </c>
      <c r="F250">
        <v>2802</v>
      </c>
      <c r="G250">
        <v>3045</v>
      </c>
    </row>
    <row r="251" spans="1:7" x14ac:dyDescent="0.2">
      <c r="A251">
        <v>12700</v>
      </c>
      <c r="B251">
        <v>1356</v>
      </c>
      <c r="C251">
        <v>1979</v>
      </c>
      <c r="D251">
        <v>2288</v>
      </c>
      <c r="E251">
        <v>2556</v>
      </c>
      <c r="F251">
        <v>2811</v>
      </c>
      <c r="G251">
        <v>3056</v>
      </c>
    </row>
    <row r="252" spans="1:7" x14ac:dyDescent="0.2">
      <c r="A252">
        <v>12750</v>
      </c>
      <c r="B252">
        <v>1361</v>
      </c>
      <c r="C252">
        <v>1986</v>
      </c>
      <c r="D252">
        <v>2296</v>
      </c>
      <c r="E252">
        <v>2565</v>
      </c>
      <c r="F252">
        <v>2821</v>
      </c>
      <c r="G252">
        <v>3067</v>
      </c>
    </row>
    <row r="253" spans="1:7" x14ac:dyDescent="0.2">
      <c r="A253">
        <v>12800</v>
      </c>
      <c r="B253">
        <v>1366</v>
      </c>
      <c r="C253">
        <v>1993</v>
      </c>
      <c r="D253">
        <v>2304</v>
      </c>
      <c r="E253">
        <v>2573</v>
      </c>
      <c r="F253">
        <v>2831</v>
      </c>
      <c r="G253">
        <v>3077</v>
      </c>
    </row>
    <row r="254" spans="1:7" x14ac:dyDescent="0.2">
      <c r="A254">
        <v>12850</v>
      </c>
      <c r="B254">
        <v>1371</v>
      </c>
      <c r="C254">
        <v>2000</v>
      </c>
      <c r="D254">
        <v>2312</v>
      </c>
      <c r="E254">
        <v>2582</v>
      </c>
      <c r="F254">
        <v>2841</v>
      </c>
      <c r="G254">
        <v>3088</v>
      </c>
    </row>
    <row r="255" spans="1:7" x14ac:dyDescent="0.2">
      <c r="A255">
        <v>12900</v>
      </c>
      <c r="B255">
        <v>1376</v>
      </c>
      <c r="C255">
        <v>2007</v>
      </c>
      <c r="D255">
        <v>2320</v>
      </c>
      <c r="E255">
        <v>2591</v>
      </c>
      <c r="F255">
        <v>2850</v>
      </c>
      <c r="G255">
        <v>3098</v>
      </c>
    </row>
    <row r="256" spans="1:7" x14ac:dyDescent="0.2">
      <c r="A256">
        <v>12950</v>
      </c>
      <c r="B256">
        <v>1381</v>
      </c>
      <c r="C256">
        <v>2014</v>
      </c>
      <c r="D256">
        <v>2328</v>
      </c>
      <c r="E256">
        <v>2600</v>
      </c>
      <c r="F256">
        <v>2860</v>
      </c>
      <c r="G256">
        <v>3109</v>
      </c>
    </row>
    <row r="257" spans="1:7" x14ac:dyDescent="0.2">
      <c r="A257">
        <v>13000</v>
      </c>
      <c r="B257">
        <v>1386</v>
      </c>
      <c r="C257">
        <v>2021</v>
      </c>
      <c r="D257">
        <v>2336</v>
      </c>
      <c r="E257">
        <v>2609</v>
      </c>
      <c r="F257">
        <v>2870</v>
      </c>
      <c r="G257">
        <v>3119</v>
      </c>
    </row>
    <row r="258" spans="1:7" x14ac:dyDescent="0.2">
      <c r="A258">
        <v>13050</v>
      </c>
      <c r="B258">
        <v>1390</v>
      </c>
      <c r="C258">
        <v>2028</v>
      </c>
      <c r="D258">
        <v>2344</v>
      </c>
      <c r="E258">
        <v>2618</v>
      </c>
      <c r="F258">
        <v>2880</v>
      </c>
      <c r="G258">
        <v>3130</v>
      </c>
    </row>
    <row r="259" spans="1:7" x14ac:dyDescent="0.2">
      <c r="A259">
        <v>13100</v>
      </c>
      <c r="B259">
        <v>1395</v>
      </c>
      <c r="C259">
        <v>2035</v>
      </c>
      <c r="D259">
        <v>2351</v>
      </c>
      <c r="E259">
        <v>2627</v>
      </c>
      <c r="F259">
        <v>2889</v>
      </c>
      <c r="G259">
        <v>3141</v>
      </c>
    </row>
    <row r="260" spans="1:7" x14ac:dyDescent="0.2">
      <c r="A260">
        <v>13150</v>
      </c>
      <c r="B260">
        <v>1400</v>
      </c>
      <c r="C260">
        <v>2042</v>
      </c>
      <c r="D260">
        <v>2359</v>
      </c>
      <c r="E260">
        <v>2635</v>
      </c>
      <c r="F260">
        <v>2899</v>
      </c>
      <c r="G260">
        <v>3151</v>
      </c>
    </row>
    <row r="261" spans="1:7" x14ac:dyDescent="0.2">
      <c r="A261">
        <v>13200</v>
      </c>
      <c r="B261">
        <v>1405</v>
      </c>
      <c r="C261">
        <v>2049</v>
      </c>
      <c r="D261">
        <v>2367</v>
      </c>
      <c r="E261">
        <v>2644</v>
      </c>
      <c r="F261">
        <v>2909</v>
      </c>
      <c r="G261">
        <v>3162</v>
      </c>
    </row>
    <row r="262" spans="1:7" x14ac:dyDescent="0.2">
      <c r="A262">
        <v>13250</v>
      </c>
      <c r="B262">
        <v>1410</v>
      </c>
      <c r="C262">
        <v>2056</v>
      </c>
      <c r="D262">
        <v>2375</v>
      </c>
      <c r="E262">
        <v>2653</v>
      </c>
      <c r="F262">
        <v>2918</v>
      </c>
      <c r="G262">
        <v>3172</v>
      </c>
    </row>
    <row r="263" spans="1:7" x14ac:dyDescent="0.2">
      <c r="A263">
        <v>13300</v>
      </c>
      <c r="B263">
        <v>1415</v>
      </c>
      <c r="C263">
        <v>2063</v>
      </c>
      <c r="D263">
        <v>2383</v>
      </c>
      <c r="E263">
        <v>2662</v>
      </c>
      <c r="F263">
        <v>2928</v>
      </c>
      <c r="G263">
        <v>3183</v>
      </c>
    </row>
    <row r="264" spans="1:7" x14ac:dyDescent="0.2">
      <c r="A264">
        <v>13350</v>
      </c>
      <c r="B264">
        <v>1420</v>
      </c>
      <c r="C264">
        <v>2070</v>
      </c>
      <c r="D264">
        <v>2391</v>
      </c>
      <c r="E264">
        <v>2671</v>
      </c>
      <c r="F264">
        <v>2938</v>
      </c>
      <c r="G264">
        <v>3193</v>
      </c>
    </row>
    <row r="265" spans="1:7" x14ac:dyDescent="0.2">
      <c r="A265">
        <v>13400</v>
      </c>
      <c r="B265">
        <v>1424</v>
      </c>
      <c r="C265">
        <v>2077</v>
      </c>
      <c r="D265">
        <v>2399</v>
      </c>
      <c r="E265">
        <v>2680</v>
      </c>
      <c r="F265">
        <v>2948</v>
      </c>
      <c r="G265">
        <v>3204</v>
      </c>
    </row>
    <row r="266" spans="1:7" x14ac:dyDescent="0.2">
      <c r="A266">
        <v>13450</v>
      </c>
      <c r="B266">
        <v>1429</v>
      </c>
      <c r="C266">
        <v>2084</v>
      </c>
      <c r="D266">
        <v>2407</v>
      </c>
      <c r="E266">
        <v>2689</v>
      </c>
      <c r="F266">
        <v>2957</v>
      </c>
      <c r="G266">
        <v>3215</v>
      </c>
    </row>
    <row r="267" spans="1:7" x14ac:dyDescent="0.2">
      <c r="A267">
        <v>13500</v>
      </c>
      <c r="B267">
        <v>1434</v>
      </c>
      <c r="C267">
        <v>2091</v>
      </c>
      <c r="D267">
        <v>2415</v>
      </c>
      <c r="E267">
        <v>2697</v>
      </c>
      <c r="F267">
        <v>2967</v>
      </c>
      <c r="G267">
        <v>3225</v>
      </c>
    </row>
    <row r="268" spans="1:7" x14ac:dyDescent="0.2">
      <c r="A268">
        <v>13550</v>
      </c>
      <c r="B268">
        <v>1439</v>
      </c>
      <c r="C268">
        <v>2098</v>
      </c>
      <c r="D268">
        <v>2423</v>
      </c>
      <c r="E268">
        <v>2706</v>
      </c>
      <c r="F268">
        <v>2977</v>
      </c>
      <c r="G268">
        <v>3236</v>
      </c>
    </row>
    <row r="269" spans="1:7" x14ac:dyDescent="0.2">
      <c r="A269">
        <v>13600</v>
      </c>
      <c r="B269">
        <v>1444</v>
      </c>
      <c r="C269">
        <v>2105</v>
      </c>
      <c r="D269">
        <v>2431</v>
      </c>
      <c r="E269">
        <v>2715</v>
      </c>
      <c r="F269">
        <v>2987</v>
      </c>
      <c r="G269">
        <v>3246</v>
      </c>
    </row>
    <row r="270" spans="1:7" x14ac:dyDescent="0.2">
      <c r="A270">
        <v>13650</v>
      </c>
      <c r="B270">
        <v>1449</v>
      </c>
      <c r="C270">
        <v>2112</v>
      </c>
      <c r="D270">
        <v>2439</v>
      </c>
      <c r="E270">
        <v>2724</v>
      </c>
      <c r="F270">
        <v>2996</v>
      </c>
      <c r="G270">
        <v>3257</v>
      </c>
    </row>
    <row r="271" spans="1:7" x14ac:dyDescent="0.2">
      <c r="A271">
        <v>13700</v>
      </c>
      <c r="B271">
        <v>1454</v>
      </c>
      <c r="C271">
        <v>2119</v>
      </c>
      <c r="D271">
        <v>2447</v>
      </c>
      <c r="E271">
        <v>2733</v>
      </c>
      <c r="F271">
        <v>3006</v>
      </c>
      <c r="G271">
        <v>3268</v>
      </c>
    </row>
    <row r="272" spans="1:7" x14ac:dyDescent="0.2">
      <c r="A272">
        <v>13750</v>
      </c>
      <c r="B272">
        <v>1459</v>
      </c>
      <c r="C272">
        <v>2126</v>
      </c>
      <c r="D272">
        <v>2454</v>
      </c>
      <c r="E272">
        <v>2742</v>
      </c>
      <c r="F272">
        <v>3016</v>
      </c>
      <c r="G272">
        <v>3278</v>
      </c>
    </row>
    <row r="273" spans="1:7" x14ac:dyDescent="0.2">
      <c r="A273">
        <v>13800</v>
      </c>
      <c r="B273">
        <v>1463</v>
      </c>
      <c r="C273">
        <v>2133</v>
      </c>
      <c r="D273">
        <v>2462</v>
      </c>
      <c r="E273">
        <v>2750</v>
      </c>
      <c r="F273">
        <v>3025</v>
      </c>
      <c r="G273">
        <v>3289</v>
      </c>
    </row>
    <row r="274" spans="1:7" x14ac:dyDescent="0.2">
      <c r="A274">
        <v>13850</v>
      </c>
      <c r="B274">
        <v>1468</v>
      </c>
      <c r="C274">
        <v>2140</v>
      </c>
      <c r="D274">
        <v>2470</v>
      </c>
      <c r="E274">
        <v>2759</v>
      </c>
      <c r="F274">
        <v>3035</v>
      </c>
      <c r="G274">
        <v>3299</v>
      </c>
    </row>
    <row r="275" spans="1:7" x14ac:dyDescent="0.2">
      <c r="A275">
        <v>13900</v>
      </c>
      <c r="B275">
        <v>1473</v>
      </c>
      <c r="C275">
        <v>2147</v>
      </c>
      <c r="D275">
        <v>2478</v>
      </c>
      <c r="E275">
        <v>2768</v>
      </c>
      <c r="F275">
        <v>3045</v>
      </c>
      <c r="G275">
        <v>3310</v>
      </c>
    </row>
    <row r="276" spans="1:7" x14ac:dyDescent="0.2">
      <c r="A276">
        <v>13950</v>
      </c>
      <c r="B276">
        <v>1478</v>
      </c>
      <c r="C276">
        <v>2154</v>
      </c>
      <c r="D276">
        <v>2486</v>
      </c>
      <c r="E276">
        <v>2777</v>
      </c>
      <c r="F276">
        <v>3055</v>
      </c>
      <c r="G276">
        <v>3320</v>
      </c>
    </row>
    <row r="277" spans="1:7" x14ac:dyDescent="0.2">
      <c r="A277">
        <v>14000</v>
      </c>
      <c r="B277">
        <v>1483</v>
      </c>
      <c r="C277">
        <v>2161</v>
      </c>
      <c r="D277">
        <v>2494</v>
      </c>
      <c r="E277">
        <v>2786</v>
      </c>
      <c r="F277">
        <v>3064</v>
      </c>
      <c r="G277">
        <v>3331</v>
      </c>
    </row>
    <row r="278" spans="1:7" x14ac:dyDescent="0.2">
      <c r="A278">
        <v>14050</v>
      </c>
      <c r="B278">
        <v>1488</v>
      </c>
      <c r="C278">
        <v>2167</v>
      </c>
      <c r="D278">
        <v>2502</v>
      </c>
      <c r="E278">
        <v>2795</v>
      </c>
      <c r="F278">
        <v>3074</v>
      </c>
      <c r="G278">
        <v>3342</v>
      </c>
    </row>
    <row r="279" spans="1:7" x14ac:dyDescent="0.2">
      <c r="A279">
        <v>14100</v>
      </c>
      <c r="B279">
        <v>1493</v>
      </c>
      <c r="C279">
        <v>2174</v>
      </c>
      <c r="D279">
        <v>2510</v>
      </c>
      <c r="E279">
        <v>2804</v>
      </c>
      <c r="F279">
        <v>3084</v>
      </c>
      <c r="G279">
        <v>3352</v>
      </c>
    </row>
    <row r="280" spans="1:7" x14ac:dyDescent="0.2">
      <c r="A280">
        <v>14150</v>
      </c>
      <c r="B280">
        <v>1497</v>
      </c>
      <c r="C280">
        <v>2181</v>
      </c>
      <c r="D280">
        <v>2518</v>
      </c>
      <c r="E280">
        <v>2812</v>
      </c>
      <c r="F280">
        <v>3094</v>
      </c>
      <c r="G280">
        <v>3363</v>
      </c>
    </row>
    <row r="281" spans="1:7" x14ac:dyDescent="0.2">
      <c r="A281">
        <v>14200</v>
      </c>
      <c r="B281">
        <v>1502</v>
      </c>
      <c r="C281">
        <v>2188</v>
      </c>
      <c r="D281">
        <v>2526</v>
      </c>
      <c r="E281">
        <v>2821</v>
      </c>
      <c r="F281">
        <v>3103</v>
      </c>
      <c r="G281">
        <v>3373</v>
      </c>
    </row>
    <row r="282" spans="1:7" x14ac:dyDescent="0.2">
      <c r="A282">
        <v>14250</v>
      </c>
      <c r="B282">
        <v>1506</v>
      </c>
      <c r="C282">
        <v>2194</v>
      </c>
      <c r="D282">
        <v>2533</v>
      </c>
      <c r="E282">
        <v>2830</v>
      </c>
      <c r="F282">
        <v>3113</v>
      </c>
      <c r="G282">
        <v>3384</v>
      </c>
    </row>
    <row r="283" spans="1:7" x14ac:dyDescent="0.2">
      <c r="A283">
        <v>14300</v>
      </c>
      <c r="B283">
        <v>1509</v>
      </c>
      <c r="C283">
        <v>2200</v>
      </c>
      <c r="D283">
        <v>2541</v>
      </c>
      <c r="E283">
        <v>2838</v>
      </c>
      <c r="F283">
        <v>3122</v>
      </c>
      <c r="G283">
        <v>3394</v>
      </c>
    </row>
    <row r="284" spans="1:7" x14ac:dyDescent="0.2">
      <c r="A284">
        <v>14350</v>
      </c>
      <c r="B284">
        <v>1513</v>
      </c>
      <c r="C284">
        <v>2206</v>
      </c>
      <c r="D284">
        <v>2549</v>
      </c>
      <c r="E284">
        <v>2847</v>
      </c>
      <c r="F284">
        <v>3132</v>
      </c>
      <c r="G284">
        <v>3404</v>
      </c>
    </row>
    <row r="285" spans="1:7" x14ac:dyDescent="0.2">
      <c r="A285">
        <v>14400</v>
      </c>
      <c r="B285">
        <v>1516</v>
      </c>
      <c r="C285">
        <v>2212</v>
      </c>
      <c r="D285">
        <v>2556</v>
      </c>
      <c r="E285">
        <v>2855</v>
      </c>
      <c r="F285">
        <v>3141</v>
      </c>
      <c r="G285">
        <v>3414</v>
      </c>
    </row>
    <row r="286" spans="1:7" x14ac:dyDescent="0.2">
      <c r="A286">
        <v>14450</v>
      </c>
      <c r="B286">
        <v>1520</v>
      </c>
      <c r="C286">
        <v>2217</v>
      </c>
      <c r="D286">
        <v>2564</v>
      </c>
      <c r="E286">
        <v>2864</v>
      </c>
      <c r="F286">
        <v>3150</v>
      </c>
      <c r="G286">
        <v>3424</v>
      </c>
    </row>
    <row r="287" spans="1:7" x14ac:dyDescent="0.2">
      <c r="A287">
        <v>14500</v>
      </c>
      <c r="B287">
        <v>1523</v>
      </c>
      <c r="C287">
        <v>2223</v>
      </c>
      <c r="D287">
        <v>2572</v>
      </c>
      <c r="E287">
        <v>2873</v>
      </c>
      <c r="F287">
        <v>3160</v>
      </c>
      <c r="G287">
        <v>3435</v>
      </c>
    </row>
    <row r="288" spans="1:7" x14ac:dyDescent="0.2">
      <c r="A288">
        <v>14550</v>
      </c>
      <c r="B288">
        <v>1527</v>
      </c>
      <c r="C288">
        <v>2229</v>
      </c>
      <c r="D288">
        <v>2579</v>
      </c>
      <c r="E288">
        <v>2881</v>
      </c>
      <c r="F288">
        <v>3169</v>
      </c>
      <c r="G288">
        <v>3445</v>
      </c>
    </row>
    <row r="289" spans="1:7" x14ac:dyDescent="0.2">
      <c r="A289">
        <v>14600</v>
      </c>
      <c r="B289">
        <v>1530</v>
      </c>
      <c r="C289">
        <v>2235</v>
      </c>
      <c r="D289">
        <v>2587</v>
      </c>
      <c r="E289">
        <v>2890</v>
      </c>
      <c r="F289">
        <v>3179</v>
      </c>
      <c r="G289">
        <v>3455</v>
      </c>
    </row>
    <row r="290" spans="1:7" x14ac:dyDescent="0.2">
      <c r="A290">
        <v>14650</v>
      </c>
      <c r="B290">
        <v>1534</v>
      </c>
      <c r="C290">
        <v>2241</v>
      </c>
      <c r="D290">
        <v>2595</v>
      </c>
      <c r="E290">
        <v>2898</v>
      </c>
      <c r="F290">
        <v>3188</v>
      </c>
      <c r="G290">
        <v>3465</v>
      </c>
    </row>
    <row r="291" spans="1:7" x14ac:dyDescent="0.2">
      <c r="A291">
        <v>14700</v>
      </c>
      <c r="B291">
        <v>1537</v>
      </c>
      <c r="C291">
        <v>2247</v>
      </c>
      <c r="D291">
        <v>2602</v>
      </c>
      <c r="E291">
        <v>2907</v>
      </c>
      <c r="F291">
        <v>3198</v>
      </c>
      <c r="G291">
        <v>3476</v>
      </c>
    </row>
    <row r="292" spans="1:7" x14ac:dyDescent="0.2">
      <c r="A292">
        <v>14750</v>
      </c>
      <c r="B292">
        <v>1541</v>
      </c>
      <c r="C292">
        <v>2252</v>
      </c>
      <c r="D292">
        <v>2610</v>
      </c>
      <c r="E292">
        <v>2915</v>
      </c>
      <c r="F292">
        <v>3207</v>
      </c>
      <c r="G292">
        <v>3486</v>
      </c>
    </row>
    <row r="293" spans="1:7" x14ac:dyDescent="0.2">
      <c r="A293">
        <v>14800</v>
      </c>
      <c r="B293">
        <v>1544</v>
      </c>
      <c r="C293">
        <v>2258</v>
      </c>
      <c r="D293">
        <v>2618</v>
      </c>
      <c r="E293">
        <v>2924</v>
      </c>
      <c r="F293">
        <v>3216</v>
      </c>
      <c r="G293">
        <v>3496</v>
      </c>
    </row>
    <row r="294" spans="1:7" x14ac:dyDescent="0.2">
      <c r="A294">
        <v>14850</v>
      </c>
      <c r="B294">
        <v>1547</v>
      </c>
      <c r="C294">
        <v>2263</v>
      </c>
      <c r="D294">
        <v>2624</v>
      </c>
      <c r="E294">
        <v>2931</v>
      </c>
      <c r="F294">
        <v>3225</v>
      </c>
      <c r="G294">
        <v>3505</v>
      </c>
    </row>
    <row r="295" spans="1:7" x14ac:dyDescent="0.2">
      <c r="A295">
        <v>14900</v>
      </c>
      <c r="B295">
        <v>1550</v>
      </c>
      <c r="C295">
        <v>2269</v>
      </c>
      <c r="D295">
        <v>2631</v>
      </c>
      <c r="E295">
        <v>2939</v>
      </c>
      <c r="F295">
        <v>3233</v>
      </c>
      <c r="G295">
        <v>3514</v>
      </c>
    </row>
    <row r="296" spans="1:7" x14ac:dyDescent="0.2">
      <c r="A296">
        <v>14950</v>
      </c>
      <c r="B296">
        <v>1553</v>
      </c>
      <c r="C296">
        <v>2274</v>
      </c>
      <c r="D296">
        <v>2638</v>
      </c>
      <c r="E296">
        <v>2947</v>
      </c>
      <c r="F296">
        <v>3241</v>
      </c>
      <c r="G296">
        <v>3523</v>
      </c>
    </row>
    <row r="297" spans="1:7" x14ac:dyDescent="0.2">
      <c r="A297">
        <v>15000</v>
      </c>
      <c r="B297">
        <v>1557</v>
      </c>
      <c r="C297">
        <v>2279</v>
      </c>
      <c r="D297">
        <v>2645</v>
      </c>
      <c r="E297">
        <v>2954</v>
      </c>
      <c r="F297">
        <v>3250</v>
      </c>
      <c r="G297">
        <v>3533</v>
      </c>
    </row>
    <row r="298" spans="1:7" x14ac:dyDescent="0.2">
      <c r="A298">
        <v>15050</v>
      </c>
      <c r="B298">
        <v>1560</v>
      </c>
      <c r="C298">
        <v>2284</v>
      </c>
      <c r="D298">
        <v>2652</v>
      </c>
      <c r="E298">
        <v>2962</v>
      </c>
      <c r="F298">
        <v>3258</v>
      </c>
      <c r="G298">
        <v>3542</v>
      </c>
    </row>
    <row r="299" spans="1:7" x14ac:dyDescent="0.2">
      <c r="A299">
        <v>15100</v>
      </c>
      <c r="B299">
        <v>1563</v>
      </c>
      <c r="C299">
        <v>2289</v>
      </c>
      <c r="D299">
        <v>2659</v>
      </c>
      <c r="E299">
        <v>2970</v>
      </c>
      <c r="F299">
        <v>3267</v>
      </c>
      <c r="G299">
        <v>3551</v>
      </c>
    </row>
    <row r="300" spans="1:7" x14ac:dyDescent="0.2">
      <c r="A300">
        <v>15150</v>
      </c>
      <c r="B300">
        <v>1566</v>
      </c>
      <c r="C300">
        <v>2295</v>
      </c>
      <c r="D300">
        <v>2666</v>
      </c>
      <c r="E300">
        <v>2977</v>
      </c>
      <c r="F300">
        <v>3275</v>
      </c>
      <c r="G300">
        <v>3560</v>
      </c>
    </row>
    <row r="301" spans="1:7" x14ac:dyDescent="0.2">
      <c r="A301">
        <v>15200</v>
      </c>
      <c r="B301">
        <v>1569</v>
      </c>
      <c r="C301">
        <v>2300</v>
      </c>
      <c r="D301">
        <v>2672</v>
      </c>
      <c r="E301">
        <v>2985</v>
      </c>
      <c r="F301">
        <v>3284</v>
      </c>
      <c r="G301">
        <v>3569</v>
      </c>
    </row>
    <row r="302" spans="1:7" x14ac:dyDescent="0.2">
      <c r="A302">
        <v>15250</v>
      </c>
      <c r="B302">
        <v>1572</v>
      </c>
      <c r="C302">
        <v>2305</v>
      </c>
      <c r="D302">
        <v>2679</v>
      </c>
      <c r="E302">
        <v>2993</v>
      </c>
      <c r="F302">
        <v>3292</v>
      </c>
      <c r="G302">
        <v>3578</v>
      </c>
    </row>
    <row r="303" spans="1:7" x14ac:dyDescent="0.2">
      <c r="A303">
        <v>15300</v>
      </c>
      <c r="B303">
        <v>1575</v>
      </c>
      <c r="C303">
        <v>2310</v>
      </c>
      <c r="D303">
        <v>2686</v>
      </c>
      <c r="E303">
        <v>3000</v>
      </c>
      <c r="F303">
        <v>3300</v>
      </c>
      <c r="G303">
        <v>3587</v>
      </c>
    </row>
    <row r="304" spans="1:7" x14ac:dyDescent="0.2">
      <c r="A304">
        <v>15350</v>
      </c>
      <c r="B304">
        <v>1578</v>
      </c>
      <c r="C304">
        <v>2315</v>
      </c>
      <c r="D304">
        <v>2693</v>
      </c>
      <c r="E304">
        <v>3008</v>
      </c>
      <c r="F304">
        <v>3309</v>
      </c>
      <c r="G304">
        <v>3597</v>
      </c>
    </row>
    <row r="305" spans="1:7" x14ac:dyDescent="0.2">
      <c r="A305">
        <v>15400</v>
      </c>
      <c r="B305">
        <v>1582</v>
      </c>
      <c r="C305">
        <v>2321</v>
      </c>
      <c r="D305">
        <v>2700</v>
      </c>
      <c r="E305">
        <v>3016</v>
      </c>
      <c r="F305">
        <v>3317</v>
      </c>
      <c r="G305">
        <v>3606</v>
      </c>
    </row>
    <row r="306" spans="1:7" x14ac:dyDescent="0.2">
      <c r="A306">
        <v>15450</v>
      </c>
      <c r="B306">
        <v>1585</v>
      </c>
      <c r="C306">
        <v>2326</v>
      </c>
      <c r="D306">
        <v>2707</v>
      </c>
      <c r="E306">
        <v>3023</v>
      </c>
      <c r="F306">
        <v>3326</v>
      </c>
      <c r="G306">
        <v>3615</v>
      </c>
    </row>
    <row r="307" spans="1:7" x14ac:dyDescent="0.2">
      <c r="A307">
        <v>15500</v>
      </c>
      <c r="B307">
        <v>1588</v>
      </c>
      <c r="C307">
        <v>2331</v>
      </c>
      <c r="D307">
        <v>2713</v>
      </c>
      <c r="E307">
        <v>3031</v>
      </c>
      <c r="F307">
        <v>3334</v>
      </c>
      <c r="G307">
        <v>3624</v>
      </c>
    </row>
    <row r="308" spans="1:7" x14ac:dyDescent="0.2">
      <c r="A308">
        <v>15550</v>
      </c>
      <c r="B308">
        <v>1591</v>
      </c>
      <c r="C308">
        <v>2336</v>
      </c>
      <c r="D308">
        <v>2720</v>
      </c>
      <c r="E308">
        <v>3039</v>
      </c>
      <c r="F308">
        <v>3342</v>
      </c>
      <c r="G308">
        <v>3633</v>
      </c>
    </row>
    <row r="309" spans="1:7" x14ac:dyDescent="0.2">
      <c r="A309">
        <v>15600</v>
      </c>
      <c r="B309">
        <v>1594</v>
      </c>
      <c r="C309">
        <v>2342</v>
      </c>
      <c r="D309">
        <v>2727</v>
      </c>
      <c r="E309">
        <v>3046</v>
      </c>
      <c r="F309">
        <v>3351</v>
      </c>
      <c r="G309">
        <v>3642</v>
      </c>
    </row>
    <row r="310" spans="1:7" x14ac:dyDescent="0.2">
      <c r="A310">
        <v>15650</v>
      </c>
      <c r="B310">
        <v>1597</v>
      </c>
      <c r="C310">
        <v>2347</v>
      </c>
      <c r="D310">
        <v>2734</v>
      </c>
      <c r="E310">
        <v>3054</v>
      </c>
      <c r="F310">
        <v>3359</v>
      </c>
      <c r="G310">
        <v>3652</v>
      </c>
    </row>
    <row r="311" spans="1:7" x14ac:dyDescent="0.2">
      <c r="A311">
        <v>15700</v>
      </c>
      <c r="B311">
        <v>1600</v>
      </c>
      <c r="C311">
        <v>2352</v>
      </c>
      <c r="D311">
        <v>2741</v>
      </c>
      <c r="E311">
        <v>3062</v>
      </c>
      <c r="F311">
        <v>3368</v>
      </c>
      <c r="G311">
        <v>3661</v>
      </c>
    </row>
    <row r="312" spans="1:7" x14ac:dyDescent="0.2">
      <c r="A312">
        <v>15750</v>
      </c>
      <c r="B312">
        <v>1603</v>
      </c>
      <c r="C312">
        <v>2357</v>
      </c>
      <c r="D312">
        <v>2748</v>
      </c>
      <c r="E312">
        <v>3069</v>
      </c>
      <c r="F312">
        <v>3376</v>
      </c>
      <c r="G312">
        <v>3670</v>
      </c>
    </row>
    <row r="313" spans="1:7" x14ac:dyDescent="0.2">
      <c r="A313">
        <v>15800</v>
      </c>
      <c r="B313">
        <v>1607</v>
      </c>
      <c r="C313">
        <v>2362</v>
      </c>
      <c r="D313">
        <v>2755</v>
      </c>
      <c r="E313">
        <v>3077</v>
      </c>
      <c r="F313">
        <v>3385</v>
      </c>
      <c r="G313">
        <v>3679</v>
      </c>
    </row>
    <row r="314" spans="1:7" x14ac:dyDescent="0.2">
      <c r="A314">
        <v>15850</v>
      </c>
      <c r="B314">
        <v>1610</v>
      </c>
      <c r="C314">
        <v>2368</v>
      </c>
      <c r="D314">
        <v>2761</v>
      </c>
      <c r="E314">
        <v>3084</v>
      </c>
      <c r="F314">
        <v>3393</v>
      </c>
      <c r="G314">
        <v>3688</v>
      </c>
    </row>
    <row r="315" spans="1:7" x14ac:dyDescent="0.2">
      <c r="A315">
        <v>15900</v>
      </c>
      <c r="B315">
        <v>1613</v>
      </c>
      <c r="C315">
        <v>2373</v>
      </c>
      <c r="D315">
        <v>2768</v>
      </c>
      <c r="E315">
        <v>3092</v>
      </c>
      <c r="F315">
        <v>3401</v>
      </c>
      <c r="G315">
        <v>3697</v>
      </c>
    </row>
    <row r="316" spans="1:7" x14ac:dyDescent="0.2">
      <c r="A316">
        <v>15950</v>
      </c>
      <c r="B316">
        <v>1616</v>
      </c>
      <c r="C316">
        <v>2378</v>
      </c>
      <c r="D316">
        <v>2775</v>
      </c>
      <c r="E316">
        <v>3100</v>
      </c>
      <c r="F316">
        <v>3410</v>
      </c>
      <c r="G316">
        <v>3706</v>
      </c>
    </row>
    <row r="317" spans="1:7" x14ac:dyDescent="0.2">
      <c r="A317">
        <v>16000</v>
      </c>
      <c r="B317">
        <v>1619</v>
      </c>
      <c r="C317">
        <v>2383</v>
      </c>
      <c r="D317">
        <v>2782</v>
      </c>
      <c r="E317">
        <v>3107</v>
      </c>
      <c r="F317">
        <v>3418</v>
      </c>
      <c r="G317">
        <v>3716</v>
      </c>
    </row>
    <row r="318" spans="1:7" x14ac:dyDescent="0.2">
      <c r="A318">
        <v>16050</v>
      </c>
      <c r="B318">
        <v>1622</v>
      </c>
      <c r="C318">
        <v>2388</v>
      </c>
      <c r="D318">
        <v>2789</v>
      </c>
      <c r="E318">
        <v>3115</v>
      </c>
      <c r="F318">
        <v>3427</v>
      </c>
      <c r="G318">
        <v>3725</v>
      </c>
    </row>
    <row r="319" spans="1:7" x14ac:dyDescent="0.2">
      <c r="A319">
        <v>16100</v>
      </c>
      <c r="B319">
        <v>1625</v>
      </c>
      <c r="C319">
        <v>2394</v>
      </c>
      <c r="D319">
        <v>2796</v>
      </c>
      <c r="E319">
        <v>3123</v>
      </c>
      <c r="F319">
        <v>3435</v>
      </c>
      <c r="G319">
        <v>3734</v>
      </c>
    </row>
    <row r="320" spans="1:7" x14ac:dyDescent="0.2">
      <c r="A320">
        <v>16150</v>
      </c>
      <c r="B320">
        <v>1629</v>
      </c>
      <c r="C320">
        <v>2399</v>
      </c>
      <c r="D320">
        <v>2802</v>
      </c>
      <c r="E320">
        <v>3130</v>
      </c>
      <c r="F320">
        <v>3443</v>
      </c>
      <c r="G320">
        <v>3743</v>
      </c>
    </row>
    <row r="321" spans="1:7" x14ac:dyDescent="0.2">
      <c r="A321">
        <v>16200</v>
      </c>
      <c r="B321">
        <v>1632</v>
      </c>
      <c r="C321">
        <v>2404</v>
      </c>
      <c r="D321">
        <v>2809</v>
      </c>
      <c r="E321">
        <v>3138</v>
      </c>
      <c r="F321">
        <v>3452</v>
      </c>
      <c r="G321">
        <v>3752</v>
      </c>
    </row>
    <row r="322" spans="1:7" x14ac:dyDescent="0.2">
      <c r="A322">
        <v>16250</v>
      </c>
      <c r="B322">
        <v>1635</v>
      </c>
      <c r="C322">
        <v>2409</v>
      </c>
      <c r="D322">
        <v>2816</v>
      </c>
      <c r="E322">
        <v>3146</v>
      </c>
      <c r="F322">
        <v>3460</v>
      </c>
      <c r="G322">
        <v>3761</v>
      </c>
    </row>
    <row r="323" spans="1:7" x14ac:dyDescent="0.2">
      <c r="A323">
        <v>16300</v>
      </c>
      <c r="B323">
        <v>1638</v>
      </c>
      <c r="C323">
        <v>2414</v>
      </c>
      <c r="D323">
        <v>2823</v>
      </c>
      <c r="E323">
        <v>3153</v>
      </c>
      <c r="F323">
        <v>3469</v>
      </c>
      <c r="G323">
        <v>3770</v>
      </c>
    </row>
    <row r="324" spans="1:7" x14ac:dyDescent="0.2">
      <c r="A324">
        <v>16350</v>
      </c>
      <c r="B324">
        <v>1641</v>
      </c>
      <c r="C324">
        <v>2420</v>
      </c>
      <c r="D324">
        <v>2830</v>
      </c>
      <c r="E324">
        <v>3161</v>
      </c>
      <c r="F324">
        <v>3477</v>
      </c>
      <c r="G324">
        <v>3780</v>
      </c>
    </row>
    <row r="325" spans="1:7" x14ac:dyDescent="0.2">
      <c r="A325">
        <v>16400</v>
      </c>
      <c r="B325">
        <v>1644</v>
      </c>
      <c r="C325">
        <v>2425</v>
      </c>
      <c r="D325">
        <v>2837</v>
      </c>
      <c r="E325">
        <v>3169</v>
      </c>
      <c r="F325">
        <v>3485</v>
      </c>
      <c r="G325">
        <v>3789</v>
      </c>
    </row>
    <row r="326" spans="1:7" x14ac:dyDescent="0.2">
      <c r="A326">
        <v>16450</v>
      </c>
      <c r="B326">
        <v>1647</v>
      </c>
      <c r="C326">
        <v>2430</v>
      </c>
      <c r="D326">
        <v>2844</v>
      </c>
      <c r="E326">
        <v>3176</v>
      </c>
      <c r="F326">
        <v>3494</v>
      </c>
      <c r="G326">
        <v>3798</v>
      </c>
    </row>
    <row r="327" spans="1:7" x14ac:dyDescent="0.2">
      <c r="A327">
        <v>16500</v>
      </c>
      <c r="B327">
        <v>1650</v>
      </c>
      <c r="C327">
        <v>2435</v>
      </c>
      <c r="D327">
        <v>2850</v>
      </c>
      <c r="E327">
        <v>3184</v>
      </c>
      <c r="F327">
        <v>3502</v>
      </c>
      <c r="G327">
        <v>3807</v>
      </c>
    </row>
    <row r="328" spans="1:7" x14ac:dyDescent="0.2">
      <c r="A328">
        <v>16550</v>
      </c>
      <c r="B328">
        <v>1654</v>
      </c>
      <c r="C328">
        <v>2441</v>
      </c>
      <c r="D328">
        <v>2857</v>
      </c>
      <c r="E328">
        <v>3192</v>
      </c>
      <c r="F328">
        <v>3511</v>
      </c>
      <c r="G328">
        <v>3816</v>
      </c>
    </row>
    <row r="329" spans="1:7" x14ac:dyDescent="0.2">
      <c r="A329">
        <v>16600</v>
      </c>
      <c r="B329">
        <v>1657</v>
      </c>
      <c r="C329">
        <v>2446</v>
      </c>
      <c r="D329">
        <v>2864</v>
      </c>
      <c r="E329">
        <v>3199</v>
      </c>
      <c r="F329">
        <v>3519</v>
      </c>
      <c r="G329">
        <v>3825</v>
      </c>
    </row>
    <row r="330" spans="1:7" x14ac:dyDescent="0.2">
      <c r="A330">
        <v>16650</v>
      </c>
      <c r="B330">
        <v>1660</v>
      </c>
      <c r="C330">
        <v>2451</v>
      </c>
      <c r="D330">
        <v>2871</v>
      </c>
      <c r="E330">
        <v>3207</v>
      </c>
      <c r="F330">
        <v>3528</v>
      </c>
      <c r="G330">
        <v>3834</v>
      </c>
    </row>
    <row r="331" spans="1:7" x14ac:dyDescent="0.2">
      <c r="A331">
        <v>16700</v>
      </c>
      <c r="B331">
        <v>1663</v>
      </c>
      <c r="C331">
        <v>2456</v>
      </c>
      <c r="D331">
        <v>2878</v>
      </c>
      <c r="E331">
        <v>3214</v>
      </c>
      <c r="F331">
        <v>3536</v>
      </c>
      <c r="G331">
        <v>3844</v>
      </c>
    </row>
    <row r="332" spans="1:7" x14ac:dyDescent="0.2">
      <c r="A332">
        <v>16750</v>
      </c>
      <c r="B332">
        <v>1666</v>
      </c>
      <c r="C332">
        <v>2461</v>
      </c>
      <c r="D332">
        <v>2885</v>
      </c>
      <c r="E332">
        <v>3222</v>
      </c>
      <c r="F332">
        <v>3544</v>
      </c>
      <c r="G332">
        <v>3853</v>
      </c>
    </row>
    <row r="333" spans="1:7" x14ac:dyDescent="0.2">
      <c r="A333">
        <v>16800</v>
      </c>
      <c r="B333">
        <v>1669</v>
      </c>
      <c r="C333">
        <v>2466</v>
      </c>
      <c r="D333">
        <v>2891</v>
      </c>
      <c r="E333">
        <v>3230</v>
      </c>
      <c r="F333">
        <v>3552</v>
      </c>
      <c r="G333">
        <v>3862</v>
      </c>
    </row>
    <row r="334" spans="1:7" x14ac:dyDescent="0.2">
      <c r="A334">
        <v>16850</v>
      </c>
      <c r="B334">
        <v>1672</v>
      </c>
      <c r="C334">
        <v>2472</v>
      </c>
      <c r="D334">
        <v>2898</v>
      </c>
      <c r="E334">
        <v>3237</v>
      </c>
      <c r="F334">
        <v>3561</v>
      </c>
      <c r="G334">
        <v>3871</v>
      </c>
    </row>
    <row r="335" spans="1:7" x14ac:dyDescent="0.2">
      <c r="A335">
        <v>16900</v>
      </c>
      <c r="B335">
        <v>1675</v>
      </c>
      <c r="C335">
        <v>2477</v>
      </c>
      <c r="D335">
        <v>2905</v>
      </c>
      <c r="E335">
        <v>3245</v>
      </c>
      <c r="F335">
        <v>3569</v>
      </c>
      <c r="G335">
        <v>3880</v>
      </c>
    </row>
    <row r="336" spans="1:7" x14ac:dyDescent="0.2">
      <c r="A336">
        <v>16950</v>
      </c>
      <c r="B336">
        <v>1678</v>
      </c>
      <c r="C336">
        <v>2482</v>
      </c>
      <c r="D336">
        <v>2912</v>
      </c>
      <c r="E336">
        <v>3252</v>
      </c>
      <c r="F336">
        <v>3577</v>
      </c>
      <c r="G336">
        <v>3889</v>
      </c>
    </row>
    <row r="337" spans="1:7" x14ac:dyDescent="0.2">
      <c r="A337">
        <v>17000</v>
      </c>
      <c r="B337">
        <v>1681</v>
      </c>
      <c r="C337">
        <v>2487</v>
      </c>
      <c r="D337">
        <v>2918</v>
      </c>
      <c r="E337">
        <v>3260</v>
      </c>
      <c r="F337">
        <v>3586</v>
      </c>
      <c r="G337">
        <v>3898</v>
      </c>
    </row>
    <row r="338" spans="1:7" x14ac:dyDescent="0.2">
      <c r="A338">
        <v>17050</v>
      </c>
      <c r="B338">
        <v>1685</v>
      </c>
      <c r="C338">
        <v>2492</v>
      </c>
      <c r="D338">
        <v>2925</v>
      </c>
      <c r="E338">
        <v>3267</v>
      </c>
      <c r="F338">
        <v>3594</v>
      </c>
      <c r="G338">
        <v>3907</v>
      </c>
    </row>
    <row r="339" spans="1:7" x14ac:dyDescent="0.2">
      <c r="A339">
        <v>17100</v>
      </c>
      <c r="B339">
        <v>1688</v>
      </c>
      <c r="C339">
        <v>2497</v>
      </c>
      <c r="D339">
        <v>2932</v>
      </c>
      <c r="E339">
        <v>3275</v>
      </c>
      <c r="F339">
        <v>3602</v>
      </c>
      <c r="G339">
        <v>3916</v>
      </c>
    </row>
    <row r="340" spans="1:7" x14ac:dyDescent="0.2">
      <c r="A340">
        <v>17150</v>
      </c>
      <c r="B340">
        <v>1691</v>
      </c>
      <c r="C340">
        <v>2502</v>
      </c>
      <c r="D340">
        <v>2939</v>
      </c>
      <c r="E340">
        <v>3282</v>
      </c>
      <c r="F340">
        <v>3611</v>
      </c>
      <c r="G340">
        <v>3925</v>
      </c>
    </row>
    <row r="341" spans="1:7" x14ac:dyDescent="0.2">
      <c r="A341">
        <v>17200</v>
      </c>
      <c r="B341">
        <v>1694</v>
      </c>
      <c r="C341">
        <v>2508</v>
      </c>
      <c r="D341">
        <v>2945</v>
      </c>
      <c r="E341">
        <v>3290</v>
      </c>
      <c r="F341">
        <v>3619</v>
      </c>
      <c r="G341">
        <v>3934</v>
      </c>
    </row>
    <row r="342" spans="1:7" x14ac:dyDescent="0.2">
      <c r="A342">
        <v>17250</v>
      </c>
      <c r="B342">
        <v>1697</v>
      </c>
      <c r="C342">
        <v>2513</v>
      </c>
      <c r="D342">
        <v>2952</v>
      </c>
      <c r="E342">
        <v>3297</v>
      </c>
      <c r="F342">
        <v>3627</v>
      </c>
      <c r="G342">
        <v>3943</v>
      </c>
    </row>
    <row r="343" spans="1:7" x14ac:dyDescent="0.2">
      <c r="A343">
        <v>17300</v>
      </c>
      <c r="B343">
        <v>1700</v>
      </c>
      <c r="C343">
        <v>2518</v>
      </c>
      <c r="D343">
        <v>2959</v>
      </c>
      <c r="E343">
        <v>3305</v>
      </c>
      <c r="F343">
        <v>3635</v>
      </c>
      <c r="G343">
        <v>3952</v>
      </c>
    </row>
    <row r="344" spans="1:7" x14ac:dyDescent="0.2">
      <c r="A344">
        <v>17350</v>
      </c>
      <c r="B344">
        <v>1703</v>
      </c>
      <c r="C344">
        <v>2523</v>
      </c>
      <c r="D344">
        <v>2966</v>
      </c>
      <c r="E344">
        <v>3312</v>
      </c>
      <c r="F344">
        <v>3644</v>
      </c>
      <c r="G344">
        <v>3961</v>
      </c>
    </row>
    <row r="345" spans="1:7" x14ac:dyDescent="0.2">
      <c r="A345">
        <v>17400</v>
      </c>
      <c r="B345">
        <v>1706</v>
      </c>
      <c r="C345">
        <v>2528</v>
      </c>
      <c r="D345">
        <v>2972</v>
      </c>
      <c r="E345">
        <v>3320</v>
      </c>
      <c r="F345">
        <v>3652</v>
      </c>
      <c r="G345">
        <v>3970</v>
      </c>
    </row>
    <row r="346" spans="1:7" x14ac:dyDescent="0.2">
      <c r="A346">
        <v>17450</v>
      </c>
      <c r="B346">
        <v>1709</v>
      </c>
      <c r="C346">
        <v>2533</v>
      </c>
      <c r="D346">
        <v>2979</v>
      </c>
      <c r="E346">
        <v>3328</v>
      </c>
      <c r="F346">
        <v>3660</v>
      </c>
      <c r="G346">
        <v>3979</v>
      </c>
    </row>
    <row r="347" spans="1:7" x14ac:dyDescent="0.2">
      <c r="A347">
        <v>17500</v>
      </c>
      <c r="B347">
        <v>1712</v>
      </c>
      <c r="C347">
        <v>2538</v>
      </c>
      <c r="D347">
        <v>2986</v>
      </c>
      <c r="E347">
        <v>3335</v>
      </c>
      <c r="F347">
        <v>3669</v>
      </c>
      <c r="G347">
        <v>3988</v>
      </c>
    </row>
    <row r="348" spans="1:7" x14ac:dyDescent="0.2">
      <c r="A348">
        <v>17550</v>
      </c>
      <c r="B348">
        <v>1715</v>
      </c>
      <c r="C348">
        <v>2544</v>
      </c>
      <c r="D348">
        <v>2993</v>
      </c>
      <c r="E348">
        <v>3343</v>
      </c>
      <c r="F348">
        <v>3677</v>
      </c>
      <c r="G348">
        <v>3997</v>
      </c>
    </row>
    <row r="349" spans="1:7" x14ac:dyDescent="0.2">
      <c r="A349">
        <v>17600</v>
      </c>
      <c r="B349">
        <v>1719</v>
      </c>
      <c r="C349">
        <v>2549</v>
      </c>
      <c r="D349">
        <v>2999</v>
      </c>
      <c r="E349">
        <v>3350</v>
      </c>
      <c r="F349">
        <v>3685</v>
      </c>
      <c r="G349">
        <v>4006</v>
      </c>
    </row>
    <row r="350" spans="1:7" x14ac:dyDescent="0.2">
      <c r="A350">
        <v>17650</v>
      </c>
      <c r="B350">
        <v>1722</v>
      </c>
      <c r="C350">
        <v>2554</v>
      </c>
      <c r="D350">
        <v>3006</v>
      </c>
      <c r="E350">
        <v>3358</v>
      </c>
      <c r="F350">
        <v>3694</v>
      </c>
      <c r="G350">
        <v>4015</v>
      </c>
    </row>
    <row r="351" spans="1:7" x14ac:dyDescent="0.2">
      <c r="A351">
        <v>17700</v>
      </c>
      <c r="B351">
        <v>1724</v>
      </c>
      <c r="C351">
        <v>2558</v>
      </c>
      <c r="D351">
        <v>3011</v>
      </c>
      <c r="E351">
        <v>3363</v>
      </c>
      <c r="F351">
        <v>3700</v>
      </c>
      <c r="G351">
        <v>4022</v>
      </c>
    </row>
    <row r="352" spans="1:7" x14ac:dyDescent="0.2">
      <c r="A352">
        <v>17750</v>
      </c>
      <c r="B352">
        <v>1727</v>
      </c>
      <c r="C352">
        <v>2562</v>
      </c>
      <c r="D352">
        <v>3016</v>
      </c>
      <c r="E352">
        <v>3368</v>
      </c>
      <c r="F352">
        <v>3705</v>
      </c>
      <c r="G352">
        <v>4028</v>
      </c>
    </row>
    <row r="353" spans="1:7" x14ac:dyDescent="0.2">
      <c r="A353">
        <v>17800</v>
      </c>
      <c r="B353">
        <v>1729</v>
      </c>
      <c r="C353">
        <v>2565</v>
      </c>
      <c r="D353">
        <v>3020</v>
      </c>
      <c r="E353">
        <v>3374</v>
      </c>
      <c r="F353">
        <v>3711</v>
      </c>
      <c r="G353">
        <v>4034</v>
      </c>
    </row>
    <row r="354" spans="1:7" x14ac:dyDescent="0.2">
      <c r="A354">
        <v>17850</v>
      </c>
      <c r="B354">
        <v>1732</v>
      </c>
      <c r="C354">
        <v>2569</v>
      </c>
      <c r="D354">
        <v>3025</v>
      </c>
      <c r="E354">
        <v>3379</v>
      </c>
      <c r="F354">
        <v>3716</v>
      </c>
      <c r="G354">
        <v>4040</v>
      </c>
    </row>
    <row r="355" spans="1:7" x14ac:dyDescent="0.2">
      <c r="A355">
        <v>17900</v>
      </c>
      <c r="B355">
        <v>1734</v>
      </c>
      <c r="C355">
        <v>2573</v>
      </c>
      <c r="D355">
        <v>3029</v>
      </c>
      <c r="E355">
        <v>3384</v>
      </c>
      <c r="F355">
        <v>3722</v>
      </c>
      <c r="G355">
        <v>4046</v>
      </c>
    </row>
    <row r="356" spans="1:7" x14ac:dyDescent="0.2">
      <c r="A356">
        <v>17950</v>
      </c>
      <c r="B356">
        <v>1737</v>
      </c>
      <c r="C356">
        <v>2577</v>
      </c>
      <c r="D356">
        <v>3034</v>
      </c>
      <c r="E356">
        <v>3389</v>
      </c>
      <c r="F356">
        <v>3728</v>
      </c>
      <c r="G356">
        <v>4052</v>
      </c>
    </row>
    <row r="357" spans="1:7" x14ac:dyDescent="0.2">
      <c r="A357">
        <v>18000</v>
      </c>
      <c r="B357">
        <v>1739</v>
      </c>
      <c r="C357">
        <v>2581</v>
      </c>
      <c r="D357">
        <v>3038</v>
      </c>
      <c r="E357">
        <v>3394</v>
      </c>
      <c r="F357">
        <v>3733</v>
      </c>
      <c r="G357">
        <v>4058</v>
      </c>
    </row>
    <row r="358" spans="1:7" x14ac:dyDescent="0.2">
      <c r="A358">
        <v>18050</v>
      </c>
      <c r="B358">
        <v>1742</v>
      </c>
      <c r="C358">
        <v>2584</v>
      </c>
      <c r="D358">
        <v>3043</v>
      </c>
      <c r="E358">
        <v>3399</v>
      </c>
      <c r="F358">
        <v>3739</v>
      </c>
      <c r="G358">
        <v>4064</v>
      </c>
    </row>
    <row r="359" spans="1:7" x14ac:dyDescent="0.2">
      <c r="A359">
        <v>18100</v>
      </c>
      <c r="B359">
        <v>1744</v>
      </c>
      <c r="C359">
        <v>2588</v>
      </c>
      <c r="D359">
        <v>3048</v>
      </c>
      <c r="E359">
        <v>3404</v>
      </c>
      <c r="F359">
        <v>3745</v>
      </c>
      <c r="G359">
        <v>4070</v>
      </c>
    </row>
    <row r="360" spans="1:7" x14ac:dyDescent="0.2">
      <c r="A360">
        <v>18150</v>
      </c>
      <c r="B360">
        <v>1747</v>
      </c>
      <c r="C360">
        <v>2592</v>
      </c>
      <c r="D360">
        <v>3052</v>
      </c>
      <c r="E360">
        <v>3409</v>
      </c>
      <c r="F360">
        <v>3750</v>
      </c>
      <c r="G360">
        <v>4076</v>
      </c>
    </row>
    <row r="361" spans="1:7" x14ac:dyDescent="0.2">
      <c r="A361">
        <v>18200</v>
      </c>
      <c r="B361">
        <v>1749</v>
      </c>
      <c r="C361">
        <v>2596</v>
      </c>
      <c r="D361">
        <v>3057</v>
      </c>
      <c r="E361">
        <v>3414</v>
      </c>
      <c r="F361">
        <v>3756</v>
      </c>
      <c r="G361">
        <v>4083</v>
      </c>
    </row>
    <row r="362" spans="1:7" x14ac:dyDescent="0.2">
      <c r="A362">
        <v>18250</v>
      </c>
      <c r="B362">
        <v>1752</v>
      </c>
      <c r="C362">
        <v>2599</v>
      </c>
      <c r="D362">
        <v>3061</v>
      </c>
      <c r="E362">
        <v>3419</v>
      </c>
      <c r="F362">
        <v>3761</v>
      </c>
      <c r="G362">
        <v>4089</v>
      </c>
    </row>
    <row r="363" spans="1:7" x14ac:dyDescent="0.2">
      <c r="A363">
        <v>18300</v>
      </c>
      <c r="B363">
        <v>1754</v>
      </c>
      <c r="C363">
        <v>2603</v>
      </c>
      <c r="D363">
        <v>3066</v>
      </c>
      <c r="E363">
        <v>3425</v>
      </c>
      <c r="F363">
        <v>3767</v>
      </c>
      <c r="G363">
        <v>4095</v>
      </c>
    </row>
    <row r="364" spans="1:7" x14ac:dyDescent="0.2">
      <c r="A364">
        <v>18350</v>
      </c>
      <c r="B364">
        <v>1757</v>
      </c>
      <c r="C364">
        <v>2607</v>
      </c>
      <c r="D364">
        <v>3070</v>
      </c>
      <c r="E364">
        <v>3430</v>
      </c>
      <c r="F364">
        <v>3773</v>
      </c>
      <c r="G364">
        <v>4101</v>
      </c>
    </row>
    <row r="365" spans="1:7" x14ac:dyDescent="0.2">
      <c r="A365">
        <v>18400</v>
      </c>
      <c r="B365">
        <v>1759</v>
      </c>
      <c r="C365">
        <v>2611</v>
      </c>
      <c r="D365">
        <v>3075</v>
      </c>
      <c r="E365">
        <v>3435</v>
      </c>
      <c r="F365">
        <v>3778</v>
      </c>
      <c r="G365">
        <v>4107</v>
      </c>
    </row>
    <row r="366" spans="1:7" x14ac:dyDescent="0.2">
      <c r="A366">
        <v>18450</v>
      </c>
      <c r="B366">
        <v>1761</v>
      </c>
      <c r="C366">
        <v>2615</v>
      </c>
      <c r="D366">
        <v>3080</v>
      </c>
      <c r="E366">
        <v>3440</v>
      </c>
      <c r="F366">
        <v>3784</v>
      </c>
      <c r="G366">
        <v>4113</v>
      </c>
    </row>
    <row r="367" spans="1:7" x14ac:dyDescent="0.2">
      <c r="A367">
        <v>18500</v>
      </c>
      <c r="B367">
        <v>1764</v>
      </c>
      <c r="C367">
        <v>2618</v>
      </c>
      <c r="D367">
        <v>3084</v>
      </c>
      <c r="E367">
        <v>3445</v>
      </c>
      <c r="F367">
        <v>3789</v>
      </c>
      <c r="G367">
        <v>4119</v>
      </c>
    </row>
    <row r="368" spans="1:7" x14ac:dyDescent="0.2">
      <c r="A368">
        <v>18550</v>
      </c>
      <c r="B368">
        <v>1766</v>
      </c>
      <c r="C368">
        <v>2622</v>
      </c>
      <c r="D368">
        <v>3088</v>
      </c>
      <c r="E368">
        <v>3450</v>
      </c>
      <c r="F368">
        <v>3795</v>
      </c>
      <c r="G368">
        <v>4125</v>
      </c>
    </row>
    <row r="369" spans="1:7" x14ac:dyDescent="0.2">
      <c r="A369">
        <v>18600</v>
      </c>
      <c r="B369">
        <v>1769</v>
      </c>
      <c r="C369">
        <v>2626</v>
      </c>
      <c r="D369">
        <v>3093</v>
      </c>
      <c r="E369">
        <v>3455</v>
      </c>
      <c r="F369">
        <v>3800</v>
      </c>
      <c r="G369">
        <v>4131</v>
      </c>
    </row>
    <row r="370" spans="1:7" x14ac:dyDescent="0.2">
      <c r="A370">
        <v>18650</v>
      </c>
      <c r="B370">
        <v>1771</v>
      </c>
      <c r="C370">
        <v>2629</v>
      </c>
      <c r="D370">
        <v>3097</v>
      </c>
      <c r="E370">
        <v>3460</v>
      </c>
      <c r="F370">
        <v>3806</v>
      </c>
      <c r="G370">
        <v>4137</v>
      </c>
    </row>
    <row r="371" spans="1:7" x14ac:dyDescent="0.2">
      <c r="A371">
        <v>18700</v>
      </c>
      <c r="B371">
        <v>1773</v>
      </c>
      <c r="C371">
        <v>2633</v>
      </c>
      <c r="D371">
        <v>3102</v>
      </c>
      <c r="E371">
        <v>3464</v>
      </c>
      <c r="F371">
        <v>3811</v>
      </c>
      <c r="G371">
        <v>4142</v>
      </c>
    </row>
    <row r="372" spans="1:7" x14ac:dyDescent="0.2">
      <c r="A372">
        <v>18750</v>
      </c>
      <c r="B372">
        <v>1776</v>
      </c>
      <c r="C372">
        <v>2636</v>
      </c>
      <c r="D372">
        <v>3106</v>
      </c>
      <c r="E372">
        <v>3469</v>
      </c>
      <c r="F372">
        <v>3816</v>
      </c>
      <c r="G372">
        <v>4148</v>
      </c>
    </row>
    <row r="373" spans="1:7" x14ac:dyDescent="0.2">
      <c r="A373">
        <v>18800</v>
      </c>
      <c r="B373">
        <v>1778</v>
      </c>
      <c r="C373">
        <v>2640</v>
      </c>
      <c r="D373">
        <v>3110</v>
      </c>
      <c r="E373">
        <v>3474</v>
      </c>
      <c r="F373">
        <v>3822</v>
      </c>
      <c r="G373">
        <v>4154</v>
      </c>
    </row>
    <row r="374" spans="1:7" x14ac:dyDescent="0.2">
      <c r="A374">
        <v>18850</v>
      </c>
      <c r="B374">
        <v>1781</v>
      </c>
      <c r="C374">
        <v>2644</v>
      </c>
      <c r="D374">
        <v>3115</v>
      </c>
      <c r="E374">
        <v>3479</v>
      </c>
      <c r="F374">
        <v>3827</v>
      </c>
      <c r="G374">
        <v>4160</v>
      </c>
    </row>
    <row r="375" spans="1:7" x14ac:dyDescent="0.2">
      <c r="A375">
        <v>18900</v>
      </c>
      <c r="B375">
        <v>1783</v>
      </c>
      <c r="C375">
        <v>2647</v>
      </c>
      <c r="D375">
        <v>3119</v>
      </c>
      <c r="E375">
        <v>3484</v>
      </c>
      <c r="F375">
        <v>3832</v>
      </c>
      <c r="G375">
        <v>4166</v>
      </c>
    </row>
    <row r="376" spans="1:7" x14ac:dyDescent="0.2">
      <c r="A376">
        <v>18950</v>
      </c>
      <c r="B376">
        <v>1785</v>
      </c>
      <c r="C376">
        <v>2651</v>
      </c>
      <c r="D376">
        <v>3123</v>
      </c>
      <c r="E376">
        <v>3489</v>
      </c>
      <c r="F376">
        <v>3838</v>
      </c>
      <c r="G376">
        <v>4172</v>
      </c>
    </row>
    <row r="377" spans="1:7" x14ac:dyDescent="0.2">
      <c r="A377">
        <v>19000</v>
      </c>
      <c r="B377">
        <v>1788</v>
      </c>
      <c r="C377">
        <v>2654</v>
      </c>
      <c r="D377">
        <v>3128</v>
      </c>
      <c r="E377">
        <v>3494</v>
      </c>
      <c r="F377">
        <v>3843</v>
      </c>
      <c r="G377">
        <v>4177</v>
      </c>
    </row>
    <row r="378" spans="1:7" x14ac:dyDescent="0.2">
      <c r="A378">
        <v>19050</v>
      </c>
      <c r="B378">
        <v>1790</v>
      </c>
      <c r="C378">
        <v>2658</v>
      </c>
      <c r="D378">
        <v>3132</v>
      </c>
      <c r="E378">
        <v>3499</v>
      </c>
      <c r="F378">
        <v>3848</v>
      </c>
      <c r="G378">
        <v>4183</v>
      </c>
    </row>
    <row r="379" spans="1:7" x14ac:dyDescent="0.2">
      <c r="A379">
        <v>19100</v>
      </c>
      <c r="B379">
        <v>1792</v>
      </c>
      <c r="C379">
        <v>2662</v>
      </c>
      <c r="D379">
        <v>3136</v>
      </c>
      <c r="E379">
        <v>3503</v>
      </c>
      <c r="F379">
        <v>3854</v>
      </c>
      <c r="G379">
        <v>4189</v>
      </c>
    </row>
    <row r="380" spans="1:7" x14ac:dyDescent="0.2">
      <c r="A380">
        <v>19150</v>
      </c>
      <c r="B380">
        <v>1795</v>
      </c>
      <c r="C380">
        <v>2665</v>
      </c>
      <c r="D380">
        <v>3141</v>
      </c>
      <c r="E380">
        <v>3508</v>
      </c>
      <c r="F380">
        <v>3859</v>
      </c>
      <c r="G380">
        <v>4195</v>
      </c>
    </row>
    <row r="381" spans="1:7" x14ac:dyDescent="0.2">
      <c r="A381">
        <v>19200</v>
      </c>
      <c r="B381">
        <v>1797</v>
      </c>
      <c r="C381">
        <v>2669</v>
      </c>
      <c r="D381">
        <v>3145</v>
      </c>
      <c r="E381">
        <v>3513</v>
      </c>
      <c r="F381">
        <v>3865</v>
      </c>
      <c r="G381">
        <v>4201</v>
      </c>
    </row>
    <row r="382" spans="1:7" x14ac:dyDescent="0.2">
      <c r="A382">
        <v>19250</v>
      </c>
      <c r="B382">
        <v>1800</v>
      </c>
      <c r="C382">
        <v>2672</v>
      </c>
      <c r="D382">
        <v>3150</v>
      </c>
      <c r="E382">
        <v>3518</v>
      </c>
      <c r="F382">
        <v>3870</v>
      </c>
      <c r="G382">
        <v>4207</v>
      </c>
    </row>
    <row r="383" spans="1:7" x14ac:dyDescent="0.2">
      <c r="A383">
        <v>19300</v>
      </c>
      <c r="B383">
        <v>1802</v>
      </c>
      <c r="C383">
        <v>2676</v>
      </c>
      <c r="D383">
        <v>3154</v>
      </c>
      <c r="E383">
        <v>3523</v>
      </c>
      <c r="F383">
        <v>3875</v>
      </c>
      <c r="G383">
        <v>4212</v>
      </c>
    </row>
    <row r="384" spans="1:7" x14ac:dyDescent="0.2">
      <c r="A384">
        <v>19350</v>
      </c>
      <c r="B384">
        <v>1804</v>
      </c>
      <c r="C384">
        <v>2680</v>
      </c>
      <c r="D384">
        <v>3158</v>
      </c>
      <c r="E384">
        <v>3528</v>
      </c>
      <c r="F384">
        <v>3881</v>
      </c>
      <c r="G384">
        <v>4218</v>
      </c>
    </row>
    <row r="385" spans="1:7" x14ac:dyDescent="0.2">
      <c r="A385">
        <v>19400</v>
      </c>
      <c r="B385">
        <v>1807</v>
      </c>
      <c r="C385">
        <v>2683</v>
      </c>
      <c r="D385">
        <v>3163</v>
      </c>
      <c r="E385">
        <v>3533</v>
      </c>
      <c r="F385">
        <v>3886</v>
      </c>
      <c r="G385">
        <v>4224</v>
      </c>
    </row>
    <row r="386" spans="1:7" x14ac:dyDescent="0.2">
      <c r="A386">
        <v>19450</v>
      </c>
      <c r="B386">
        <v>1809</v>
      </c>
      <c r="C386">
        <v>2687</v>
      </c>
      <c r="D386">
        <v>3167</v>
      </c>
      <c r="E386">
        <v>3538</v>
      </c>
      <c r="F386">
        <v>3891</v>
      </c>
      <c r="G386">
        <v>4230</v>
      </c>
    </row>
    <row r="387" spans="1:7" x14ac:dyDescent="0.2">
      <c r="A387">
        <v>19500</v>
      </c>
      <c r="B387">
        <v>1811</v>
      </c>
      <c r="C387">
        <v>2691</v>
      </c>
      <c r="D387">
        <v>3171</v>
      </c>
      <c r="E387">
        <v>3542</v>
      </c>
      <c r="F387">
        <v>3897</v>
      </c>
      <c r="G387">
        <v>4236</v>
      </c>
    </row>
    <row r="388" spans="1:7" x14ac:dyDescent="0.2">
      <c r="A388">
        <v>19550</v>
      </c>
      <c r="B388">
        <v>1814</v>
      </c>
      <c r="C388">
        <v>2694</v>
      </c>
      <c r="D388">
        <v>3176</v>
      </c>
      <c r="E388">
        <v>3547</v>
      </c>
      <c r="F388">
        <v>3902</v>
      </c>
      <c r="G388">
        <v>4241</v>
      </c>
    </row>
    <row r="389" spans="1:7" x14ac:dyDescent="0.2">
      <c r="A389">
        <v>19600</v>
      </c>
      <c r="B389">
        <v>1816</v>
      </c>
      <c r="C389">
        <v>2698</v>
      </c>
      <c r="D389">
        <v>3180</v>
      </c>
      <c r="E389">
        <v>3552</v>
      </c>
      <c r="F389">
        <v>3907</v>
      </c>
      <c r="G389">
        <v>4247</v>
      </c>
    </row>
    <row r="390" spans="1:7" x14ac:dyDescent="0.2">
      <c r="A390">
        <v>19650</v>
      </c>
      <c r="B390">
        <v>1819</v>
      </c>
      <c r="C390">
        <v>2701</v>
      </c>
      <c r="D390">
        <v>3184</v>
      </c>
      <c r="E390">
        <v>3557</v>
      </c>
      <c r="F390">
        <v>3913</v>
      </c>
      <c r="G390">
        <v>4253</v>
      </c>
    </row>
    <row r="391" spans="1:7" x14ac:dyDescent="0.2">
      <c r="A391">
        <v>19700</v>
      </c>
      <c r="B391">
        <v>1821</v>
      </c>
      <c r="C391">
        <v>2705</v>
      </c>
      <c r="D391">
        <v>3189</v>
      </c>
      <c r="E391">
        <v>3562</v>
      </c>
      <c r="F391">
        <v>3918</v>
      </c>
      <c r="G391">
        <v>4259</v>
      </c>
    </row>
    <row r="392" spans="1:7" x14ac:dyDescent="0.2">
      <c r="A392">
        <v>19750</v>
      </c>
      <c r="B392">
        <v>1823</v>
      </c>
      <c r="C392">
        <v>2709</v>
      </c>
      <c r="D392">
        <v>3193</v>
      </c>
      <c r="E392">
        <v>3567</v>
      </c>
      <c r="F392">
        <v>3923</v>
      </c>
      <c r="G392">
        <v>4265</v>
      </c>
    </row>
    <row r="393" spans="1:7" x14ac:dyDescent="0.2">
      <c r="A393">
        <v>19800</v>
      </c>
      <c r="B393">
        <v>1826</v>
      </c>
      <c r="C393">
        <v>2712</v>
      </c>
      <c r="D393">
        <v>3198</v>
      </c>
      <c r="E393">
        <v>3572</v>
      </c>
      <c r="F393">
        <v>3929</v>
      </c>
      <c r="G393">
        <v>4271</v>
      </c>
    </row>
    <row r="394" spans="1:7" x14ac:dyDescent="0.2">
      <c r="A394">
        <v>19850</v>
      </c>
      <c r="B394">
        <v>1828</v>
      </c>
      <c r="C394">
        <v>2716</v>
      </c>
      <c r="D394">
        <v>3202</v>
      </c>
      <c r="E394">
        <v>3577</v>
      </c>
      <c r="F394">
        <v>3934</v>
      </c>
      <c r="G394">
        <v>4276</v>
      </c>
    </row>
    <row r="395" spans="1:7" x14ac:dyDescent="0.2">
      <c r="A395">
        <v>19900</v>
      </c>
      <c r="B395">
        <v>1830</v>
      </c>
      <c r="C395">
        <v>2719</v>
      </c>
      <c r="D395">
        <v>3206</v>
      </c>
      <c r="E395">
        <v>3581</v>
      </c>
      <c r="F395">
        <v>3940</v>
      </c>
      <c r="G395">
        <v>4282</v>
      </c>
    </row>
    <row r="396" spans="1:7" x14ac:dyDescent="0.2">
      <c r="A396">
        <v>19950</v>
      </c>
      <c r="B396">
        <v>1833</v>
      </c>
      <c r="C396">
        <v>2723</v>
      </c>
      <c r="D396">
        <v>3211</v>
      </c>
      <c r="E396">
        <v>3586</v>
      </c>
      <c r="F396">
        <v>3945</v>
      </c>
      <c r="G396">
        <v>4288</v>
      </c>
    </row>
    <row r="397" spans="1:7" x14ac:dyDescent="0.2">
      <c r="A397">
        <v>20000</v>
      </c>
      <c r="B397">
        <v>1835</v>
      </c>
      <c r="C397">
        <v>2727</v>
      </c>
      <c r="D397">
        <v>3215</v>
      </c>
      <c r="E397">
        <v>3591</v>
      </c>
      <c r="F397">
        <v>3950</v>
      </c>
      <c r="G397">
        <v>4294</v>
      </c>
    </row>
    <row r="398" spans="1:7" x14ac:dyDescent="0.2">
      <c r="A398">
        <v>20050</v>
      </c>
      <c r="B398">
        <v>1838</v>
      </c>
      <c r="C398">
        <v>2730</v>
      </c>
      <c r="D398">
        <v>3219</v>
      </c>
      <c r="E398">
        <v>3596</v>
      </c>
      <c r="F398">
        <v>3956</v>
      </c>
      <c r="G398">
        <v>4300</v>
      </c>
    </row>
    <row r="399" spans="1:7" x14ac:dyDescent="0.2">
      <c r="A399">
        <v>20100</v>
      </c>
      <c r="B399">
        <v>1840</v>
      </c>
      <c r="C399">
        <v>2734</v>
      </c>
      <c r="D399">
        <v>3224</v>
      </c>
      <c r="E399">
        <v>3601</v>
      </c>
      <c r="F399">
        <v>3961</v>
      </c>
      <c r="G399">
        <v>4306</v>
      </c>
    </row>
    <row r="400" spans="1:7" x14ac:dyDescent="0.2">
      <c r="A400">
        <v>20150</v>
      </c>
      <c r="B400">
        <v>1842</v>
      </c>
      <c r="C400">
        <v>2737</v>
      </c>
      <c r="D400">
        <v>3228</v>
      </c>
      <c r="E400">
        <v>3606</v>
      </c>
      <c r="F400">
        <v>3966</v>
      </c>
      <c r="G400">
        <v>4311</v>
      </c>
    </row>
    <row r="401" spans="1:7" x14ac:dyDescent="0.2">
      <c r="A401">
        <v>20200</v>
      </c>
      <c r="B401">
        <v>1845</v>
      </c>
      <c r="C401">
        <v>2741</v>
      </c>
      <c r="D401">
        <v>3232</v>
      </c>
      <c r="E401">
        <v>3611</v>
      </c>
      <c r="F401">
        <v>3972</v>
      </c>
      <c r="G401">
        <v>4317</v>
      </c>
    </row>
    <row r="402" spans="1:7" x14ac:dyDescent="0.2">
      <c r="A402">
        <v>20250</v>
      </c>
      <c r="B402">
        <v>1847</v>
      </c>
      <c r="C402">
        <v>2745</v>
      </c>
      <c r="D402">
        <v>3237</v>
      </c>
      <c r="E402">
        <v>3615</v>
      </c>
      <c r="F402">
        <v>3977</v>
      </c>
      <c r="G402">
        <v>4323</v>
      </c>
    </row>
    <row r="403" spans="1:7" x14ac:dyDescent="0.2">
      <c r="A403">
        <v>20300</v>
      </c>
      <c r="B403">
        <v>1849</v>
      </c>
      <c r="C403">
        <v>2748</v>
      </c>
      <c r="D403">
        <v>3241</v>
      </c>
      <c r="E403">
        <v>3620</v>
      </c>
      <c r="F403">
        <v>3982</v>
      </c>
      <c r="G403">
        <v>4329</v>
      </c>
    </row>
    <row r="404" spans="1:7" x14ac:dyDescent="0.2">
      <c r="A404">
        <v>20350</v>
      </c>
      <c r="B404">
        <v>1852</v>
      </c>
      <c r="C404">
        <v>2752</v>
      </c>
      <c r="D404">
        <v>3246</v>
      </c>
      <c r="E404">
        <v>3625</v>
      </c>
      <c r="F404">
        <v>3988</v>
      </c>
      <c r="G404">
        <v>4335</v>
      </c>
    </row>
    <row r="405" spans="1:7" x14ac:dyDescent="0.2">
      <c r="A405">
        <v>20400</v>
      </c>
      <c r="B405">
        <v>1854</v>
      </c>
      <c r="C405">
        <v>2755</v>
      </c>
      <c r="D405">
        <v>3250</v>
      </c>
      <c r="E405">
        <v>3630</v>
      </c>
      <c r="F405">
        <v>3993</v>
      </c>
      <c r="G405">
        <v>4341</v>
      </c>
    </row>
    <row r="406" spans="1:7" x14ac:dyDescent="0.2">
      <c r="A406">
        <v>20450</v>
      </c>
      <c r="B406">
        <v>1857</v>
      </c>
      <c r="C406">
        <v>2759</v>
      </c>
      <c r="D406">
        <v>3254</v>
      </c>
      <c r="E406">
        <v>3635</v>
      </c>
      <c r="F406">
        <v>3998</v>
      </c>
      <c r="G406">
        <v>4346</v>
      </c>
    </row>
    <row r="407" spans="1:7" x14ac:dyDescent="0.2">
      <c r="A407">
        <v>20500</v>
      </c>
      <c r="B407">
        <v>1859</v>
      </c>
      <c r="C407">
        <v>2763</v>
      </c>
      <c r="D407">
        <v>3259</v>
      </c>
      <c r="E407">
        <v>3640</v>
      </c>
      <c r="F407">
        <v>4004</v>
      </c>
      <c r="G407">
        <v>4352</v>
      </c>
    </row>
    <row r="408" spans="1:7" x14ac:dyDescent="0.2">
      <c r="A408">
        <v>20550</v>
      </c>
      <c r="B408">
        <v>1861</v>
      </c>
      <c r="C408">
        <v>2766</v>
      </c>
      <c r="D408">
        <v>3263</v>
      </c>
      <c r="E408">
        <v>3645</v>
      </c>
      <c r="F408">
        <v>4009</v>
      </c>
      <c r="G408">
        <v>4358</v>
      </c>
    </row>
    <row r="409" spans="1:7" x14ac:dyDescent="0.2">
      <c r="A409">
        <v>20600</v>
      </c>
      <c r="B409">
        <v>1864</v>
      </c>
      <c r="C409">
        <v>2770</v>
      </c>
      <c r="D409">
        <v>3267</v>
      </c>
      <c r="E409">
        <v>3650</v>
      </c>
      <c r="F409">
        <v>4015</v>
      </c>
      <c r="G409">
        <v>4364</v>
      </c>
    </row>
    <row r="410" spans="1:7" x14ac:dyDescent="0.2">
      <c r="A410">
        <v>20650</v>
      </c>
      <c r="B410">
        <v>1866</v>
      </c>
      <c r="C410">
        <v>2774</v>
      </c>
      <c r="D410">
        <v>3272</v>
      </c>
      <c r="E410">
        <v>3654</v>
      </c>
      <c r="F410">
        <v>4020</v>
      </c>
      <c r="G410">
        <v>4370</v>
      </c>
    </row>
    <row r="411" spans="1:7" x14ac:dyDescent="0.2">
      <c r="A411">
        <v>20700</v>
      </c>
      <c r="B411">
        <v>1868</v>
      </c>
      <c r="C411">
        <v>2777</v>
      </c>
      <c r="D411">
        <v>3276</v>
      </c>
      <c r="E411">
        <v>3659</v>
      </c>
      <c r="F411">
        <v>4025</v>
      </c>
      <c r="G411">
        <v>4375</v>
      </c>
    </row>
    <row r="412" spans="1:7" x14ac:dyDescent="0.2">
      <c r="A412">
        <v>20750</v>
      </c>
      <c r="B412">
        <v>1871</v>
      </c>
      <c r="C412">
        <v>2781</v>
      </c>
      <c r="D412">
        <v>3280</v>
      </c>
      <c r="E412">
        <v>3664</v>
      </c>
      <c r="F412">
        <v>4031</v>
      </c>
      <c r="G412">
        <v>4381</v>
      </c>
    </row>
    <row r="413" spans="1:7" x14ac:dyDescent="0.2">
      <c r="A413">
        <v>20800</v>
      </c>
      <c r="B413">
        <v>1873</v>
      </c>
      <c r="C413">
        <v>2784</v>
      </c>
      <c r="D413">
        <v>3285</v>
      </c>
      <c r="E413">
        <v>3669</v>
      </c>
      <c r="F413">
        <v>4036</v>
      </c>
      <c r="G413">
        <v>4387</v>
      </c>
    </row>
    <row r="414" spans="1:7" x14ac:dyDescent="0.2">
      <c r="A414">
        <v>20850</v>
      </c>
      <c r="B414">
        <v>1875</v>
      </c>
      <c r="C414">
        <v>2788</v>
      </c>
      <c r="D414">
        <v>3289</v>
      </c>
      <c r="E414">
        <v>3674</v>
      </c>
      <c r="F414">
        <v>4041</v>
      </c>
      <c r="G414">
        <v>4393</v>
      </c>
    </row>
    <row r="415" spans="1:7" x14ac:dyDescent="0.2">
      <c r="A415">
        <v>20900</v>
      </c>
      <c r="B415">
        <v>1878</v>
      </c>
      <c r="C415">
        <v>2792</v>
      </c>
      <c r="D415">
        <v>3293</v>
      </c>
      <c r="E415">
        <v>3679</v>
      </c>
      <c r="F415">
        <v>4047</v>
      </c>
      <c r="G415">
        <v>4399</v>
      </c>
    </row>
    <row r="416" spans="1:7" x14ac:dyDescent="0.2">
      <c r="A416">
        <v>20950</v>
      </c>
      <c r="B416">
        <v>1880</v>
      </c>
      <c r="C416">
        <v>2795</v>
      </c>
      <c r="D416">
        <v>3298</v>
      </c>
      <c r="E416">
        <v>3684</v>
      </c>
      <c r="F416">
        <v>4052</v>
      </c>
      <c r="G416">
        <v>4405</v>
      </c>
    </row>
    <row r="417" spans="1:7" x14ac:dyDescent="0.2">
      <c r="A417">
        <v>21000</v>
      </c>
      <c r="B417">
        <v>1883</v>
      </c>
      <c r="C417">
        <v>2799</v>
      </c>
      <c r="D417">
        <v>3302</v>
      </c>
      <c r="E417">
        <v>3689</v>
      </c>
      <c r="F417">
        <v>4057</v>
      </c>
      <c r="G417">
        <v>4410</v>
      </c>
    </row>
    <row r="418" spans="1:7" x14ac:dyDescent="0.2">
      <c r="A418">
        <v>21050</v>
      </c>
      <c r="B418">
        <v>1885</v>
      </c>
      <c r="C418">
        <v>2802</v>
      </c>
      <c r="D418">
        <v>3307</v>
      </c>
      <c r="E418">
        <v>3693</v>
      </c>
      <c r="F418">
        <v>4063</v>
      </c>
      <c r="G418">
        <v>4416</v>
      </c>
    </row>
    <row r="419" spans="1:7" x14ac:dyDescent="0.2">
      <c r="A419">
        <v>21100</v>
      </c>
      <c r="B419">
        <v>1887</v>
      </c>
      <c r="C419">
        <v>2806</v>
      </c>
      <c r="D419">
        <v>3311</v>
      </c>
      <c r="E419">
        <v>3698</v>
      </c>
      <c r="F419">
        <v>4068</v>
      </c>
      <c r="G419">
        <v>4422</v>
      </c>
    </row>
    <row r="420" spans="1:7" x14ac:dyDescent="0.2">
      <c r="A420">
        <v>21150</v>
      </c>
      <c r="B420">
        <v>1890</v>
      </c>
      <c r="C420">
        <v>2810</v>
      </c>
      <c r="D420">
        <v>3315</v>
      </c>
      <c r="E420">
        <v>3703</v>
      </c>
      <c r="F420">
        <v>4073</v>
      </c>
      <c r="G420">
        <v>4428</v>
      </c>
    </row>
    <row r="421" spans="1:7" x14ac:dyDescent="0.2">
      <c r="A421">
        <v>21200</v>
      </c>
      <c r="B421">
        <v>1892</v>
      </c>
      <c r="C421">
        <v>2813</v>
      </c>
      <c r="D421">
        <v>3320</v>
      </c>
      <c r="E421">
        <v>3708</v>
      </c>
      <c r="F421">
        <v>4079</v>
      </c>
      <c r="G421">
        <v>4434</v>
      </c>
    </row>
    <row r="422" spans="1:7" x14ac:dyDescent="0.2">
      <c r="A422">
        <v>21250</v>
      </c>
      <c r="B422">
        <v>1894</v>
      </c>
      <c r="C422">
        <v>2817</v>
      </c>
      <c r="D422">
        <v>3324</v>
      </c>
      <c r="E422">
        <v>3713</v>
      </c>
      <c r="F422">
        <v>4084</v>
      </c>
      <c r="G422">
        <v>4440</v>
      </c>
    </row>
    <row r="423" spans="1:7" x14ac:dyDescent="0.2">
      <c r="A423">
        <v>21300</v>
      </c>
      <c r="B423">
        <v>1897</v>
      </c>
      <c r="C423">
        <v>2820</v>
      </c>
      <c r="D423">
        <v>3328</v>
      </c>
      <c r="E423">
        <v>3718</v>
      </c>
      <c r="F423">
        <v>4090</v>
      </c>
      <c r="G423">
        <v>4445</v>
      </c>
    </row>
    <row r="424" spans="1:7" x14ac:dyDescent="0.2">
      <c r="A424">
        <v>21350</v>
      </c>
      <c r="B424">
        <v>1899</v>
      </c>
      <c r="C424">
        <v>2824</v>
      </c>
      <c r="D424">
        <v>3333</v>
      </c>
      <c r="E424">
        <v>3723</v>
      </c>
      <c r="F424">
        <v>4095</v>
      </c>
      <c r="G424">
        <v>4451</v>
      </c>
    </row>
    <row r="425" spans="1:7" x14ac:dyDescent="0.2">
      <c r="A425">
        <v>21400</v>
      </c>
      <c r="B425">
        <v>1902</v>
      </c>
      <c r="C425">
        <v>2828</v>
      </c>
      <c r="D425">
        <v>3337</v>
      </c>
      <c r="E425">
        <v>3728</v>
      </c>
      <c r="F425">
        <v>4101</v>
      </c>
      <c r="G425">
        <v>4457</v>
      </c>
    </row>
    <row r="426" spans="1:7" x14ac:dyDescent="0.2">
      <c r="A426">
        <v>21450</v>
      </c>
      <c r="B426">
        <v>1905</v>
      </c>
      <c r="C426">
        <v>2833</v>
      </c>
      <c r="D426">
        <v>3342</v>
      </c>
      <c r="E426">
        <v>3733</v>
      </c>
      <c r="F426">
        <v>4107</v>
      </c>
      <c r="G426">
        <v>4464</v>
      </c>
    </row>
    <row r="427" spans="1:7" x14ac:dyDescent="0.2">
      <c r="A427">
        <v>21500</v>
      </c>
      <c r="B427">
        <v>1909</v>
      </c>
      <c r="C427">
        <v>2837</v>
      </c>
      <c r="D427">
        <v>3347</v>
      </c>
      <c r="E427">
        <v>3739</v>
      </c>
      <c r="F427">
        <v>4113</v>
      </c>
      <c r="G427">
        <v>4471</v>
      </c>
    </row>
    <row r="428" spans="1:7" x14ac:dyDescent="0.2">
      <c r="A428">
        <v>21550</v>
      </c>
      <c r="B428">
        <v>1912</v>
      </c>
      <c r="C428">
        <v>2842</v>
      </c>
      <c r="D428">
        <v>3352</v>
      </c>
      <c r="E428">
        <v>3744</v>
      </c>
      <c r="F428">
        <v>4119</v>
      </c>
      <c r="G428">
        <v>4477</v>
      </c>
    </row>
    <row r="429" spans="1:7" x14ac:dyDescent="0.2">
      <c r="A429">
        <v>21600</v>
      </c>
      <c r="B429">
        <v>1915</v>
      </c>
      <c r="C429">
        <v>2846</v>
      </c>
      <c r="D429">
        <v>3357</v>
      </c>
      <c r="E429">
        <v>3750</v>
      </c>
      <c r="F429">
        <v>4125</v>
      </c>
      <c r="G429">
        <v>4484</v>
      </c>
    </row>
    <row r="430" spans="1:7" x14ac:dyDescent="0.2">
      <c r="A430">
        <v>21650</v>
      </c>
      <c r="B430">
        <v>1918</v>
      </c>
      <c r="C430">
        <v>2851</v>
      </c>
      <c r="D430">
        <v>3362</v>
      </c>
      <c r="E430">
        <v>3755</v>
      </c>
      <c r="F430">
        <v>4131</v>
      </c>
      <c r="G430">
        <v>4490</v>
      </c>
    </row>
    <row r="431" spans="1:7" x14ac:dyDescent="0.2">
      <c r="A431">
        <v>21700</v>
      </c>
      <c r="B431">
        <v>1921</v>
      </c>
      <c r="C431">
        <v>2855</v>
      </c>
      <c r="D431">
        <v>3367</v>
      </c>
      <c r="E431">
        <v>3761</v>
      </c>
      <c r="F431">
        <v>4137</v>
      </c>
      <c r="G431">
        <v>4497</v>
      </c>
    </row>
    <row r="432" spans="1:7" x14ac:dyDescent="0.2">
      <c r="A432">
        <v>21750</v>
      </c>
      <c r="B432">
        <v>1925</v>
      </c>
      <c r="C432">
        <v>2860</v>
      </c>
      <c r="D432">
        <v>3372</v>
      </c>
      <c r="E432">
        <v>3766</v>
      </c>
      <c r="F432">
        <v>4143</v>
      </c>
      <c r="G432">
        <v>4503</v>
      </c>
    </row>
    <row r="433" spans="1:7" x14ac:dyDescent="0.2">
      <c r="A433">
        <v>21800</v>
      </c>
      <c r="B433">
        <v>1928</v>
      </c>
      <c r="C433">
        <v>2864</v>
      </c>
      <c r="D433">
        <v>3377</v>
      </c>
      <c r="E433">
        <v>3772</v>
      </c>
      <c r="F433">
        <v>4149</v>
      </c>
      <c r="G433">
        <v>4510</v>
      </c>
    </row>
    <row r="434" spans="1:7" x14ac:dyDescent="0.2">
      <c r="A434">
        <v>21850</v>
      </c>
      <c r="B434">
        <v>1931</v>
      </c>
      <c r="C434">
        <v>2868</v>
      </c>
      <c r="D434">
        <v>3382</v>
      </c>
      <c r="E434">
        <v>3777</v>
      </c>
      <c r="F434">
        <v>4155</v>
      </c>
      <c r="G434">
        <v>4517</v>
      </c>
    </row>
    <row r="435" spans="1:7" x14ac:dyDescent="0.2">
      <c r="A435">
        <v>21900</v>
      </c>
      <c r="B435">
        <v>1934</v>
      </c>
      <c r="C435">
        <v>2873</v>
      </c>
      <c r="D435">
        <v>3387</v>
      </c>
      <c r="E435">
        <v>3783</v>
      </c>
      <c r="F435">
        <v>4161</v>
      </c>
      <c r="G435">
        <v>4523</v>
      </c>
    </row>
    <row r="436" spans="1:7" x14ac:dyDescent="0.2">
      <c r="A436">
        <v>21950</v>
      </c>
      <c r="B436">
        <v>1937</v>
      </c>
      <c r="C436">
        <v>2877</v>
      </c>
      <c r="D436">
        <v>3391</v>
      </c>
      <c r="E436">
        <v>3788</v>
      </c>
      <c r="F436">
        <v>4167</v>
      </c>
      <c r="G436">
        <v>4530</v>
      </c>
    </row>
    <row r="437" spans="1:7" x14ac:dyDescent="0.2">
      <c r="A437">
        <v>22000</v>
      </c>
      <c r="B437">
        <v>1941</v>
      </c>
      <c r="C437">
        <v>2882</v>
      </c>
      <c r="D437">
        <v>3396</v>
      </c>
      <c r="E437">
        <v>3794</v>
      </c>
      <c r="F437">
        <v>4173</v>
      </c>
      <c r="G437">
        <v>4536</v>
      </c>
    </row>
    <row r="438" spans="1:7" x14ac:dyDescent="0.2">
      <c r="A438">
        <v>22050</v>
      </c>
      <c r="B438">
        <v>1944</v>
      </c>
      <c r="C438">
        <v>2886</v>
      </c>
      <c r="D438">
        <v>3401</v>
      </c>
      <c r="E438">
        <v>3799</v>
      </c>
      <c r="F438">
        <v>4179</v>
      </c>
      <c r="G438">
        <v>4543</v>
      </c>
    </row>
    <row r="439" spans="1:7" x14ac:dyDescent="0.2">
      <c r="A439">
        <v>22100</v>
      </c>
      <c r="B439">
        <v>1947</v>
      </c>
      <c r="C439">
        <v>2891</v>
      </c>
      <c r="D439">
        <v>3406</v>
      </c>
      <c r="E439">
        <v>3805</v>
      </c>
      <c r="F439">
        <v>4185</v>
      </c>
      <c r="G439">
        <v>4549</v>
      </c>
    </row>
    <row r="440" spans="1:7" x14ac:dyDescent="0.2">
      <c r="A440">
        <v>22150</v>
      </c>
      <c r="B440">
        <v>1950</v>
      </c>
      <c r="C440">
        <v>2895</v>
      </c>
      <c r="D440">
        <v>3411</v>
      </c>
      <c r="E440">
        <v>3810</v>
      </c>
      <c r="F440">
        <v>4191</v>
      </c>
      <c r="G440">
        <v>4556</v>
      </c>
    </row>
    <row r="441" spans="1:7" x14ac:dyDescent="0.2">
      <c r="A441">
        <v>22200</v>
      </c>
      <c r="B441">
        <v>1954</v>
      </c>
      <c r="C441">
        <v>2900</v>
      </c>
      <c r="D441">
        <v>3416</v>
      </c>
      <c r="E441">
        <v>3816</v>
      </c>
      <c r="F441">
        <v>4197</v>
      </c>
      <c r="G441">
        <v>4562</v>
      </c>
    </row>
    <row r="442" spans="1:7" x14ac:dyDescent="0.2">
      <c r="A442">
        <v>22250</v>
      </c>
      <c r="B442">
        <v>1957</v>
      </c>
      <c r="C442">
        <v>2904</v>
      </c>
      <c r="D442">
        <v>3421</v>
      </c>
      <c r="E442">
        <v>3821</v>
      </c>
      <c r="F442">
        <v>4203</v>
      </c>
      <c r="G442">
        <v>4569</v>
      </c>
    </row>
    <row r="443" spans="1:7" x14ac:dyDescent="0.2">
      <c r="A443">
        <v>22300</v>
      </c>
      <c r="B443">
        <v>1960</v>
      </c>
      <c r="C443">
        <v>2909</v>
      </c>
      <c r="D443">
        <v>3426</v>
      </c>
      <c r="E443">
        <v>3827</v>
      </c>
      <c r="F443">
        <v>4209</v>
      </c>
      <c r="G443">
        <v>4576</v>
      </c>
    </row>
    <row r="444" spans="1:7" x14ac:dyDescent="0.2">
      <c r="A444">
        <v>22350</v>
      </c>
      <c r="B444">
        <v>1963</v>
      </c>
      <c r="C444">
        <v>2913</v>
      </c>
      <c r="D444">
        <v>3431</v>
      </c>
      <c r="E444">
        <v>3832</v>
      </c>
      <c r="F444">
        <v>4215</v>
      </c>
      <c r="G444">
        <v>4582</v>
      </c>
    </row>
    <row r="445" spans="1:7" x14ac:dyDescent="0.2">
      <c r="A445">
        <v>22400</v>
      </c>
      <c r="B445">
        <v>1966</v>
      </c>
      <c r="C445">
        <v>2918</v>
      </c>
      <c r="D445">
        <v>3436</v>
      </c>
      <c r="E445">
        <v>3838</v>
      </c>
      <c r="F445">
        <v>4221</v>
      </c>
      <c r="G445">
        <v>4589</v>
      </c>
    </row>
    <row r="446" spans="1:7" x14ac:dyDescent="0.2">
      <c r="A446">
        <v>22450</v>
      </c>
      <c r="B446">
        <v>1970</v>
      </c>
      <c r="C446">
        <v>2922</v>
      </c>
      <c r="D446">
        <v>3441</v>
      </c>
      <c r="E446">
        <v>3843</v>
      </c>
      <c r="F446">
        <v>4227</v>
      </c>
      <c r="G446">
        <v>4595</v>
      </c>
    </row>
    <row r="447" spans="1:7" x14ac:dyDescent="0.2">
      <c r="A447">
        <v>22500</v>
      </c>
      <c r="B447">
        <v>1973</v>
      </c>
      <c r="C447">
        <v>2927</v>
      </c>
      <c r="D447">
        <v>3446</v>
      </c>
      <c r="E447">
        <v>3849</v>
      </c>
      <c r="F447">
        <v>4234</v>
      </c>
      <c r="G447">
        <v>4602</v>
      </c>
    </row>
    <row r="448" spans="1:7" x14ac:dyDescent="0.2">
      <c r="A448">
        <v>22550</v>
      </c>
      <c r="B448">
        <v>1976</v>
      </c>
      <c r="C448">
        <v>2931</v>
      </c>
      <c r="D448">
        <v>3450</v>
      </c>
      <c r="E448">
        <v>3854</v>
      </c>
      <c r="F448">
        <v>4240</v>
      </c>
      <c r="G448">
        <v>4608</v>
      </c>
    </row>
    <row r="449" spans="1:7" x14ac:dyDescent="0.2">
      <c r="A449">
        <v>22600</v>
      </c>
      <c r="B449">
        <v>1979</v>
      </c>
      <c r="C449">
        <v>2936</v>
      </c>
      <c r="D449">
        <v>3455</v>
      </c>
      <c r="E449">
        <v>3860</v>
      </c>
      <c r="F449">
        <v>4246</v>
      </c>
      <c r="G449">
        <v>4615</v>
      </c>
    </row>
    <row r="450" spans="1:7" x14ac:dyDescent="0.2">
      <c r="A450">
        <v>22650</v>
      </c>
      <c r="B450">
        <v>1983</v>
      </c>
      <c r="C450">
        <v>2940</v>
      </c>
      <c r="D450">
        <v>3460</v>
      </c>
      <c r="E450">
        <v>3865</v>
      </c>
      <c r="F450">
        <v>4252</v>
      </c>
      <c r="G450">
        <v>4622</v>
      </c>
    </row>
    <row r="451" spans="1:7" x14ac:dyDescent="0.2">
      <c r="A451">
        <v>22700</v>
      </c>
      <c r="B451">
        <v>1986</v>
      </c>
      <c r="C451">
        <v>2945</v>
      </c>
      <c r="D451">
        <v>3465</v>
      </c>
      <c r="E451">
        <v>3871</v>
      </c>
      <c r="F451">
        <v>4258</v>
      </c>
      <c r="G451">
        <v>4628</v>
      </c>
    </row>
    <row r="452" spans="1:7" x14ac:dyDescent="0.2">
      <c r="A452">
        <v>22750</v>
      </c>
      <c r="B452">
        <v>1989</v>
      </c>
      <c r="C452">
        <v>2949</v>
      </c>
      <c r="D452">
        <v>3470</v>
      </c>
      <c r="E452">
        <v>3876</v>
      </c>
      <c r="F452">
        <v>4264</v>
      </c>
      <c r="G452">
        <v>4635</v>
      </c>
    </row>
    <row r="453" spans="1:7" x14ac:dyDescent="0.2">
      <c r="A453">
        <v>22800</v>
      </c>
      <c r="B453">
        <v>1992</v>
      </c>
      <c r="C453">
        <v>2954</v>
      </c>
      <c r="D453">
        <v>3475</v>
      </c>
      <c r="E453">
        <v>3882</v>
      </c>
      <c r="F453">
        <v>4270</v>
      </c>
      <c r="G453">
        <v>4641</v>
      </c>
    </row>
    <row r="454" spans="1:7" x14ac:dyDescent="0.2">
      <c r="A454">
        <v>22850</v>
      </c>
      <c r="B454">
        <v>1995</v>
      </c>
      <c r="C454">
        <v>2958</v>
      </c>
      <c r="D454">
        <v>3480</v>
      </c>
      <c r="E454">
        <v>3887</v>
      </c>
      <c r="F454">
        <v>4276</v>
      </c>
      <c r="G454">
        <v>4648</v>
      </c>
    </row>
    <row r="455" spans="1:7" x14ac:dyDescent="0.2">
      <c r="A455">
        <v>22900</v>
      </c>
      <c r="B455">
        <v>1999</v>
      </c>
      <c r="C455">
        <v>2963</v>
      </c>
      <c r="D455">
        <v>3485</v>
      </c>
      <c r="E455">
        <v>3893</v>
      </c>
      <c r="F455">
        <v>4282</v>
      </c>
      <c r="G455">
        <v>4654</v>
      </c>
    </row>
    <row r="456" spans="1:7" x14ac:dyDescent="0.2">
      <c r="A456">
        <v>22950</v>
      </c>
      <c r="B456">
        <v>2002</v>
      </c>
      <c r="C456">
        <v>2967</v>
      </c>
      <c r="D456">
        <v>3490</v>
      </c>
      <c r="E456">
        <v>3898</v>
      </c>
      <c r="F456">
        <v>4288</v>
      </c>
      <c r="G456">
        <v>4661</v>
      </c>
    </row>
    <row r="457" spans="1:7" x14ac:dyDescent="0.2">
      <c r="A457">
        <v>23000</v>
      </c>
      <c r="B457">
        <v>2005</v>
      </c>
      <c r="C457">
        <v>2972</v>
      </c>
      <c r="D457">
        <v>3495</v>
      </c>
      <c r="E457">
        <v>3904</v>
      </c>
      <c r="F457">
        <v>4294</v>
      </c>
      <c r="G457">
        <v>4667</v>
      </c>
    </row>
    <row r="458" spans="1:7" x14ac:dyDescent="0.2">
      <c r="A458">
        <v>23050</v>
      </c>
      <c r="B458">
        <v>2008</v>
      </c>
      <c r="C458">
        <v>2976</v>
      </c>
      <c r="D458">
        <v>3500</v>
      </c>
      <c r="E458">
        <v>3909</v>
      </c>
      <c r="F458">
        <v>4300</v>
      </c>
      <c r="G458">
        <v>4674</v>
      </c>
    </row>
    <row r="459" spans="1:7" x14ac:dyDescent="0.2">
      <c r="A459">
        <v>23100</v>
      </c>
      <c r="B459">
        <v>2011</v>
      </c>
      <c r="C459">
        <v>2981</v>
      </c>
      <c r="D459">
        <v>3505</v>
      </c>
      <c r="E459">
        <v>3915</v>
      </c>
      <c r="F459">
        <v>4306</v>
      </c>
      <c r="G459">
        <v>4681</v>
      </c>
    </row>
    <row r="460" spans="1:7" x14ac:dyDescent="0.2">
      <c r="A460">
        <v>23150</v>
      </c>
      <c r="B460">
        <v>2015</v>
      </c>
      <c r="C460">
        <v>2985</v>
      </c>
      <c r="D460">
        <v>3509</v>
      </c>
      <c r="E460">
        <v>3920</v>
      </c>
      <c r="F460">
        <v>4312</v>
      </c>
      <c r="G460">
        <v>4687</v>
      </c>
    </row>
    <row r="461" spans="1:7" x14ac:dyDescent="0.2">
      <c r="A461">
        <v>23200</v>
      </c>
      <c r="B461">
        <v>2018</v>
      </c>
      <c r="C461">
        <v>2989</v>
      </c>
      <c r="D461">
        <v>3514</v>
      </c>
      <c r="E461">
        <v>3926</v>
      </c>
      <c r="F461">
        <v>4318</v>
      </c>
      <c r="G461">
        <v>4694</v>
      </c>
    </row>
    <row r="462" spans="1:7" x14ac:dyDescent="0.2">
      <c r="A462">
        <v>23250</v>
      </c>
      <c r="B462">
        <v>2021</v>
      </c>
      <c r="C462">
        <v>2994</v>
      </c>
      <c r="D462">
        <v>3519</v>
      </c>
      <c r="E462">
        <v>3931</v>
      </c>
      <c r="F462">
        <v>4324</v>
      </c>
      <c r="G462">
        <v>4700</v>
      </c>
    </row>
    <row r="463" spans="1:7" x14ac:dyDescent="0.2">
      <c r="A463">
        <v>23300</v>
      </c>
      <c r="B463">
        <v>2024</v>
      </c>
      <c r="C463">
        <v>2998</v>
      </c>
      <c r="D463">
        <v>3524</v>
      </c>
      <c r="E463">
        <v>3937</v>
      </c>
      <c r="F463">
        <v>4330</v>
      </c>
      <c r="G463">
        <v>4707</v>
      </c>
    </row>
    <row r="464" spans="1:7" x14ac:dyDescent="0.2">
      <c r="A464">
        <v>23350</v>
      </c>
      <c r="B464">
        <v>2028</v>
      </c>
      <c r="C464">
        <v>3003</v>
      </c>
      <c r="D464">
        <v>3529</v>
      </c>
      <c r="E464">
        <v>3942</v>
      </c>
      <c r="F464">
        <v>4336</v>
      </c>
      <c r="G464">
        <v>4713</v>
      </c>
    </row>
    <row r="465" spans="1:7" x14ac:dyDescent="0.2">
      <c r="A465">
        <v>23400</v>
      </c>
      <c r="B465">
        <v>2031</v>
      </c>
      <c r="C465">
        <v>3007</v>
      </c>
      <c r="D465">
        <v>3534</v>
      </c>
      <c r="E465">
        <v>3947</v>
      </c>
      <c r="F465">
        <v>4342</v>
      </c>
      <c r="G465">
        <v>4720</v>
      </c>
    </row>
    <row r="466" spans="1:7" x14ac:dyDescent="0.2">
      <c r="A466">
        <v>23450</v>
      </c>
      <c r="B466">
        <v>2034</v>
      </c>
      <c r="C466">
        <v>3012</v>
      </c>
      <c r="D466">
        <v>3539</v>
      </c>
      <c r="E466">
        <v>3953</v>
      </c>
      <c r="F466">
        <v>4348</v>
      </c>
      <c r="G466">
        <v>4727</v>
      </c>
    </row>
    <row r="467" spans="1:7" x14ac:dyDescent="0.2">
      <c r="A467">
        <v>23500</v>
      </c>
      <c r="B467">
        <v>2037</v>
      </c>
      <c r="C467">
        <v>3016</v>
      </c>
      <c r="D467">
        <v>3544</v>
      </c>
      <c r="E467">
        <v>3958</v>
      </c>
      <c r="F467">
        <v>4354</v>
      </c>
      <c r="G467">
        <v>4733</v>
      </c>
    </row>
    <row r="468" spans="1:7" x14ac:dyDescent="0.2">
      <c r="A468">
        <v>23550</v>
      </c>
      <c r="B468">
        <v>2040</v>
      </c>
      <c r="C468">
        <v>3021</v>
      </c>
      <c r="D468">
        <v>3549</v>
      </c>
      <c r="E468">
        <v>3964</v>
      </c>
      <c r="F468">
        <v>4360</v>
      </c>
      <c r="G468">
        <v>4740</v>
      </c>
    </row>
    <row r="469" spans="1:7" x14ac:dyDescent="0.2">
      <c r="A469">
        <v>23600</v>
      </c>
      <c r="B469">
        <v>2044</v>
      </c>
      <c r="C469">
        <v>3025</v>
      </c>
      <c r="D469">
        <v>3554</v>
      </c>
      <c r="E469">
        <v>3969</v>
      </c>
      <c r="F469">
        <v>4366</v>
      </c>
      <c r="G469">
        <v>4746</v>
      </c>
    </row>
    <row r="470" spans="1:7" x14ac:dyDescent="0.2">
      <c r="A470">
        <v>23650</v>
      </c>
      <c r="B470">
        <v>2047</v>
      </c>
      <c r="C470">
        <v>3030</v>
      </c>
      <c r="D470">
        <v>3559</v>
      </c>
      <c r="E470">
        <v>3975</v>
      </c>
      <c r="F470">
        <v>4372</v>
      </c>
      <c r="G470">
        <v>4753</v>
      </c>
    </row>
    <row r="471" spans="1:7" x14ac:dyDescent="0.2">
      <c r="A471">
        <v>23700</v>
      </c>
      <c r="B471">
        <v>2050</v>
      </c>
      <c r="C471">
        <v>3034</v>
      </c>
      <c r="D471">
        <v>3563</v>
      </c>
      <c r="E471">
        <v>3980</v>
      </c>
      <c r="F471">
        <v>4378</v>
      </c>
      <c r="G471">
        <v>4759</v>
      </c>
    </row>
    <row r="472" spans="1:7" x14ac:dyDescent="0.2">
      <c r="A472">
        <v>23750</v>
      </c>
      <c r="B472">
        <v>2053</v>
      </c>
      <c r="C472">
        <v>3039</v>
      </c>
      <c r="D472">
        <v>3568</v>
      </c>
      <c r="E472">
        <v>3986</v>
      </c>
      <c r="F472">
        <v>4385</v>
      </c>
      <c r="G472">
        <v>4766</v>
      </c>
    </row>
    <row r="473" spans="1:7" x14ac:dyDescent="0.2">
      <c r="A473">
        <v>23800</v>
      </c>
      <c r="B473">
        <v>2057</v>
      </c>
      <c r="C473">
        <v>3043</v>
      </c>
      <c r="D473">
        <v>3573</v>
      </c>
      <c r="E473">
        <v>3991</v>
      </c>
      <c r="F473">
        <v>4391</v>
      </c>
      <c r="G473">
        <v>4773</v>
      </c>
    </row>
    <row r="474" spans="1:7" x14ac:dyDescent="0.2">
      <c r="A474">
        <v>23850</v>
      </c>
      <c r="B474">
        <v>2060</v>
      </c>
      <c r="C474">
        <v>3048</v>
      </c>
      <c r="D474">
        <v>3578</v>
      </c>
      <c r="E474">
        <v>3997</v>
      </c>
      <c r="F474">
        <v>4397</v>
      </c>
      <c r="G474">
        <v>4779</v>
      </c>
    </row>
    <row r="475" spans="1:7" x14ac:dyDescent="0.2">
      <c r="A475">
        <v>23900</v>
      </c>
      <c r="B475">
        <v>2063</v>
      </c>
      <c r="C475">
        <v>3052</v>
      </c>
      <c r="D475">
        <v>3583</v>
      </c>
      <c r="E475">
        <v>4002</v>
      </c>
      <c r="F475">
        <v>4403</v>
      </c>
      <c r="G475">
        <v>4786</v>
      </c>
    </row>
    <row r="476" spans="1:7" x14ac:dyDescent="0.2">
      <c r="A476">
        <v>23950</v>
      </c>
      <c r="B476">
        <v>2066</v>
      </c>
      <c r="C476">
        <v>3057</v>
      </c>
      <c r="D476">
        <v>3588</v>
      </c>
      <c r="E476">
        <v>4008</v>
      </c>
      <c r="F476">
        <v>4409</v>
      </c>
      <c r="G476">
        <v>4792</v>
      </c>
    </row>
    <row r="477" spans="1:7" x14ac:dyDescent="0.2">
      <c r="A477">
        <v>24000</v>
      </c>
      <c r="B477">
        <v>2069</v>
      </c>
      <c r="C477">
        <v>3061</v>
      </c>
      <c r="D477">
        <v>3593</v>
      </c>
      <c r="E477">
        <v>4013</v>
      </c>
      <c r="F477">
        <v>4415</v>
      </c>
      <c r="G477">
        <v>4799</v>
      </c>
    </row>
    <row r="478" spans="1:7" x14ac:dyDescent="0.2">
      <c r="A478">
        <v>24050</v>
      </c>
      <c r="B478">
        <v>2073</v>
      </c>
      <c r="C478">
        <v>3066</v>
      </c>
      <c r="D478">
        <v>3598</v>
      </c>
      <c r="E478">
        <v>4019</v>
      </c>
      <c r="F478">
        <v>4421</v>
      </c>
      <c r="G478">
        <v>4805</v>
      </c>
    </row>
    <row r="479" spans="1:7" x14ac:dyDescent="0.2">
      <c r="A479">
        <v>24100</v>
      </c>
      <c r="B479">
        <v>2076</v>
      </c>
      <c r="C479">
        <v>3070</v>
      </c>
      <c r="D479">
        <v>3603</v>
      </c>
      <c r="E479">
        <v>4024</v>
      </c>
      <c r="F479">
        <v>4427</v>
      </c>
      <c r="G479">
        <v>4812</v>
      </c>
    </row>
    <row r="480" spans="1:7" x14ac:dyDescent="0.2">
      <c r="A480">
        <v>24150</v>
      </c>
      <c r="B480">
        <v>2079</v>
      </c>
      <c r="C480">
        <v>3075</v>
      </c>
      <c r="D480">
        <v>3608</v>
      </c>
      <c r="E480">
        <v>4030</v>
      </c>
      <c r="F480">
        <v>4433</v>
      </c>
      <c r="G480">
        <v>4818</v>
      </c>
    </row>
    <row r="481" spans="1:7" x14ac:dyDescent="0.2">
      <c r="A481">
        <v>24200</v>
      </c>
      <c r="B481">
        <v>2082</v>
      </c>
      <c r="C481">
        <v>3079</v>
      </c>
      <c r="D481">
        <v>3613</v>
      </c>
      <c r="E481">
        <v>4035</v>
      </c>
      <c r="F481">
        <v>4439</v>
      </c>
      <c r="G481">
        <v>4825</v>
      </c>
    </row>
    <row r="482" spans="1:7" x14ac:dyDescent="0.2">
      <c r="A482">
        <v>24250</v>
      </c>
      <c r="B482">
        <v>2086</v>
      </c>
      <c r="C482">
        <v>3084</v>
      </c>
      <c r="D482">
        <v>3618</v>
      </c>
      <c r="E482">
        <v>4041</v>
      </c>
      <c r="F482">
        <v>4445</v>
      </c>
      <c r="G482">
        <v>4832</v>
      </c>
    </row>
    <row r="483" spans="1:7" x14ac:dyDescent="0.2">
      <c r="A483">
        <v>24300</v>
      </c>
      <c r="B483">
        <v>2089</v>
      </c>
      <c r="C483">
        <v>3088</v>
      </c>
      <c r="D483">
        <v>3622</v>
      </c>
      <c r="E483">
        <v>4046</v>
      </c>
      <c r="F483">
        <v>4451</v>
      </c>
      <c r="G483">
        <v>4838</v>
      </c>
    </row>
    <row r="484" spans="1:7" x14ac:dyDescent="0.2">
      <c r="A484">
        <v>24350</v>
      </c>
      <c r="B484">
        <v>2092</v>
      </c>
      <c r="C484">
        <v>3093</v>
      </c>
      <c r="D484">
        <v>3627</v>
      </c>
      <c r="E484">
        <v>4052</v>
      </c>
      <c r="F484">
        <v>4457</v>
      </c>
      <c r="G484">
        <v>4845</v>
      </c>
    </row>
    <row r="485" spans="1:7" x14ac:dyDescent="0.2">
      <c r="A485">
        <v>24400</v>
      </c>
      <c r="B485">
        <v>2095</v>
      </c>
      <c r="C485">
        <v>3097</v>
      </c>
      <c r="D485">
        <v>3632</v>
      </c>
      <c r="E485">
        <v>4057</v>
      </c>
      <c r="F485">
        <v>4463</v>
      </c>
      <c r="G485">
        <v>4851</v>
      </c>
    </row>
    <row r="486" spans="1:7" x14ac:dyDescent="0.2">
      <c r="A486">
        <v>24450</v>
      </c>
      <c r="B486">
        <v>2098</v>
      </c>
      <c r="C486">
        <v>3102</v>
      </c>
      <c r="D486">
        <v>3637</v>
      </c>
      <c r="E486">
        <v>4063</v>
      </c>
      <c r="F486">
        <v>4469</v>
      </c>
      <c r="G486">
        <v>4858</v>
      </c>
    </row>
    <row r="487" spans="1:7" x14ac:dyDescent="0.2">
      <c r="A487">
        <v>24500</v>
      </c>
      <c r="B487">
        <v>2102</v>
      </c>
      <c r="C487">
        <v>3106</v>
      </c>
      <c r="D487">
        <v>3642</v>
      </c>
      <c r="E487">
        <v>4068</v>
      </c>
      <c r="F487">
        <v>4475</v>
      </c>
      <c r="G487">
        <v>4864</v>
      </c>
    </row>
    <row r="488" spans="1:7" x14ac:dyDescent="0.2">
      <c r="A488">
        <v>24550</v>
      </c>
      <c r="B488">
        <v>2105</v>
      </c>
      <c r="C488">
        <v>3110</v>
      </c>
      <c r="D488">
        <v>3647</v>
      </c>
      <c r="E488">
        <v>4074</v>
      </c>
      <c r="F488">
        <v>4481</v>
      </c>
      <c r="G488">
        <v>4871</v>
      </c>
    </row>
    <row r="489" spans="1:7" x14ac:dyDescent="0.2">
      <c r="A489">
        <v>24600</v>
      </c>
      <c r="B489">
        <v>2108</v>
      </c>
      <c r="C489">
        <v>3115</v>
      </c>
      <c r="D489">
        <v>3652</v>
      </c>
      <c r="E489">
        <v>4079</v>
      </c>
      <c r="F489">
        <v>4487</v>
      </c>
      <c r="G489">
        <v>4878</v>
      </c>
    </row>
    <row r="490" spans="1:7" x14ac:dyDescent="0.2">
      <c r="A490">
        <v>24650</v>
      </c>
      <c r="B490">
        <v>2111</v>
      </c>
      <c r="C490">
        <v>3119</v>
      </c>
      <c r="D490">
        <v>3657</v>
      </c>
      <c r="E490">
        <v>4085</v>
      </c>
      <c r="F490">
        <v>4493</v>
      </c>
      <c r="G490">
        <v>4884</v>
      </c>
    </row>
    <row r="491" spans="1:7" x14ac:dyDescent="0.2">
      <c r="A491">
        <v>24700</v>
      </c>
      <c r="B491">
        <v>2114</v>
      </c>
      <c r="C491">
        <v>3124</v>
      </c>
      <c r="D491">
        <v>3662</v>
      </c>
      <c r="E491">
        <v>4090</v>
      </c>
      <c r="F491">
        <v>4499</v>
      </c>
      <c r="G491">
        <v>4891</v>
      </c>
    </row>
    <row r="492" spans="1:7" x14ac:dyDescent="0.2">
      <c r="A492">
        <v>24750</v>
      </c>
      <c r="B492">
        <v>2118</v>
      </c>
      <c r="C492">
        <v>3128</v>
      </c>
      <c r="D492">
        <v>3667</v>
      </c>
      <c r="E492">
        <v>4096</v>
      </c>
      <c r="F492">
        <v>4505</v>
      </c>
      <c r="G492">
        <v>4897</v>
      </c>
    </row>
    <row r="493" spans="1:7" x14ac:dyDescent="0.2">
      <c r="A493">
        <v>24800</v>
      </c>
      <c r="B493">
        <v>2121</v>
      </c>
      <c r="C493">
        <v>3133</v>
      </c>
      <c r="D493">
        <v>3672</v>
      </c>
      <c r="E493">
        <v>4101</v>
      </c>
      <c r="F493">
        <v>4511</v>
      </c>
      <c r="G493">
        <v>4904</v>
      </c>
    </row>
    <row r="494" spans="1:7" x14ac:dyDescent="0.2">
      <c r="A494">
        <v>24850</v>
      </c>
      <c r="B494">
        <v>2124</v>
      </c>
      <c r="C494">
        <v>3137</v>
      </c>
      <c r="D494">
        <v>3677</v>
      </c>
      <c r="E494">
        <v>4107</v>
      </c>
      <c r="F494">
        <v>4517</v>
      </c>
      <c r="G494">
        <v>4910</v>
      </c>
    </row>
    <row r="495" spans="1:7" x14ac:dyDescent="0.2">
      <c r="A495">
        <v>24900</v>
      </c>
      <c r="B495">
        <v>2127</v>
      </c>
      <c r="C495">
        <v>3142</v>
      </c>
      <c r="D495">
        <v>3681</v>
      </c>
      <c r="E495">
        <v>4112</v>
      </c>
      <c r="F495">
        <v>4523</v>
      </c>
      <c r="G495">
        <v>4917</v>
      </c>
    </row>
    <row r="496" spans="1:7" x14ac:dyDescent="0.2">
      <c r="A496">
        <v>24950</v>
      </c>
      <c r="B496">
        <v>2131</v>
      </c>
      <c r="C496">
        <v>3146</v>
      </c>
      <c r="D496">
        <v>3686</v>
      </c>
      <c r="E496">
        <v>4118</v>
      </c>
      <c r="F496">
        <v>4529</v>
      </c>
      <c r="G496">
        <v>4923</v>
      </c>
    </row>
    <row r="497" spans="1:7" x14ac:dyDescent="0.2">
      <c r="A497">
        <v>25000</v>
      </c>
      <c r="B497">
        <v>2134</v>
      </c>
      <c r="C497">
        <v>3151</v>
      </c>
      <c r="D497">
        <v>3691</v>
      </c>
      <c r="E497">
        <v>4123</v>
      </c>
      <c r="F497">
        <v>4535</v>
      </c>
      <c r="G497">
        <v>4930</v>
      </c>
    </row>
    <row r="498" spans="1:7" x14ac:dyDescent="0.2">
      <c r="A498">
        <v>25050</v>
      </c>
      <c r="B498">
        <v>2137</v>
      </c>
      <c r="C498">
        <v>3155</v>
      </c>
      <c r="D498">
        <v>3696</v>
      </c>
      <c r="E498">
        <v>4129</v>
      </c>
      <c r="F498">
        <v>4542</v>
      </c>
      <c r="G498">
        <v>4937</v>
      </c>
    </row>
    <row r="499" spans="1:7" x14ac:dyDescent="0.2">
      <c r="A499">
        <v>25100</v>
      </c>
      <c r="B499">
        <v>2140</v>
      </c>
      <c r="C499">
        <v>3160</v>
      </c>
      <c r="D499">
        <v>3701</v>
      </c>
      <c r="E499">
        <v>4134</v>
      </c>
      <c r="F499">
        <v>4548</v>
      </c>
      <c r="G499">
        <v>4943</v>
      </c>
    </row>
    <row r="500" spans="1:7" x14ac:dyDescent="0.2">
      <c r="A500">
        <v>25150</v>
      </c>
      <c r="B500">
        <v>2143</v>
      </c>
      <c r="C500">
        <v>3164</v>
      </c>
      <c r="D500">
        <v>3706</v>
      </c>
      <c r="E500">
        <v>4140</v>
      </c>
      <c r="F500">
        <v>4554</v>
      </c>
      <c r="G500">
        <v>4950</v>
      </c>
    </row>
    <row r="501" spans="1:7" x14ac:dyDescent="0.2">
      <c r="A501">
        <v>25200</v>
      </c>
      <c r="B501">
        <v>2147</v>
      </c>
      <c r="C501">
        <v>3169</v>
      </c>
      <c r="D501">
        <v>3711</v>
      </c>
      <c r="E501">
        <v>4145</v>
      </c>
      <c r="F501">
        <v>4560</v>
      </c>
      <c r="G501">
        <v>4956</v>
      </c>
    </row>
    <row r="502" spans="1:7" x14ac:dyDescent="0.2">
      <c r="A502">
        <v>25250</v>
      </c>
      <c r="B502">
        <v>2150</v>
      </c>
      <c r="C502">
        <v>3173</v>
      </c>
      <c r="D502">
        <v>3716</v>
      </c>
      <c r="E502">
        <v>4151</v>
      </c>
      <c r="F502">
        <v>4566</v>
      </c>
      <c r="G502">
        <v>4963</v>
      </c>
    </row>
    <row r="503" spans="1:7" x14ac:dyDescent="0.2">
      <c r="A503">
        <v>25300</v>
      </c>
      <c r="B503">
        <v>2153</v>
      </c>
      <c r="C503">
        <v>3178</v>
      </c>
      <c r="D503">
        <v>3721</v>
      </c>
      <c r="E503">
        <v>4156</v>
      </c>
      <c r="F503">
        <v>4572</v>
      </c>
      <c r="G503">
        <v>4969</v>
      </c>
    </row>
    <row r="504" spans="1:7" x14ac:dyDescent="0.2">
      <c r="A504">
        <v>25350</v>
      </c>
      <c r="B504">
        <v>2156</v>
      </c>
      <c r="C504">
        <v>3182</v>
      </c>
      <c r="D504">
        <v>3726</v>
      </c>
      <c r="E504">
        <v>4162</v>
      </c>
      <c r="F504">
        <v>4578</v>
      </c>
      <c r="G504">
        <v>4976</v>
      </c>
    </row>
    <row r="505" spans="1:7" x14ac:dyDescent="0.2">
      <c r="A505">
        <v>25400</v>
      </c>
      <c r="B505">
        <v>2160</v>
      </c>
      <c r="C505">
        <v>3187</v>
      </c>
      <c r="D505">
        <v>3731</v>
      </c>
      <c r="E505">
        <v>4167</v>
      </c>
      <c r="F505">
        <v>4584</v>
      </c>
      <c r="G505">
        <v>4983</v>
      </c>
    </row>
    <row r="506" spans="1:7" x14ac:dyDescent="0.2">
      <c r="A506">
        <v>25450</v>
      </c>
      <c r="B506">
        <v>2163</v>
      </c>
      <c r="C506">
        <v>3191</v>
      </c>
      <c r="D506">
        <v>3736</v>
      </c>
      <c r="E506">
        <v>4173</v>
      </c>
      <c r="F506">
        <v>4590</v>
      </c>
      <c r="G506">
        <v>4989</v>
      </c>
    </row>
    <row r="507" spans="1:7" x14ac:dyDescent="0.2">
      <c r="A507">
        <v>25500</v>
      </c>
      <c r="B507">
        <v>2166</v>
      </c>
      <c r="C507">
        <v>3196</v>
      </c>
      <c r="D507">
        <v>3740</v>
      </c>
      <c r="E507">
        <v>4178</v>
      </c>
      <c r="F507">
        <v>4596</v>
      </c>
      <c r="G507">
        <v>4996</v>
      </c>
    </row>
    <row r="508" spans="1:7" x14ac:dyDescent="0.2">
      <c r="A508">
        <v>25550</v>
      </c>
      <c r="B508">
        <v>2169</v>
      </c>
      <c r="C508">
        <v>3200</v>
      </c>
      <c r="D508">
        <v>3745</v>
      </c>
      <c r="E508">
        <v>4184</v>
      </c>
      <c r="F508">
        <v>4602</v>
      </c>
      <c r="G508">
        <v>5002</v>
      </c>
    </row>
    <row r="509" spans="1:7" x14ac:dyDescent="0.2">
      <c r="A509">
        <v>25600</v>
      </c>
      <c r="B509">
        <v>2172</v>
      </c>
      <c r="C509">
        <v>3205</v>
      </c>
      <c r="D509">
        <v>3750</v>
      </c>
      <c r="E509">
        <v>4189</v>
      </c>
      <c r="F509">
        <v>4608</v>
      </c>
      <c r="G509">
        <v>5009</v>
      </c>
    </row>
    <row r="510" spans="1:7" x14ac:dyDescent="0.2">
      <c r="A510">
        <v>25650</v>
      </c>
      <c r="B510">
        <v>2176</v>
      </c>
      <c r="C510">
        <v>3209</v>
      </c>
      <c r="D510">
        <v>3755</v>
      </c>
      <c r="E510">
        <v>4195</v>
      </c>
      <c r="F510">
        <v>4614</v>
      </c>
      <c r="G510">
        <v>5015</v>
      </c>
    </row>
    <row r="511" spans="1:7" x14ac:dyDescent="0.2">
      <c r="A511">
        <v>25700</v>
      </c>
      <c r="B511">
        <v>2179</v>
      </c>
      <c r="C511">
        <v>3214</v>
      </c>
      <c r="D511">
        <v>3760</v>
      </c>
      <c r="E511">
        <v>4200</v>
      </c>
      <c r="F511">
        <v>4620</v>
      </c>
      <c r="G511">
        <v>5022</v>
      </c>
    </row>
    <row r="512" spans="1:7" x14ac:dyDescent="0.2">
      <c r="A512">
        <v>25750</v>
      </c>
      <c r="B512">
        <v>2182</v>
      </c>
      <c r="C512">
        <v>3218</v>
      </c>
      <c r="D512">
        <v>3765</v>
      </c>
      <c r="E512">
        <v>4206</v>
      </c>
      <c r="F512">
        <v>4626</v>
      </c>
      <c r="G512">
        <v>5029</v>
      </c>
    </row>
    <row r="513" spans="1:7" x14ac:dyDescent="0.2">
      <c r="A513">
        <v>25800</v>
      </c>
      <c r="B513">
        <v>2185</v>
      </c>
      <c r="C513">
        <v>3223</v>
      </c>
      <c r="D513">
        <v>3770</v>
      </c>
      <c r="E513">
        <v>4211</v>
      </c>
      <c r="F513">
        <v>4632</v>
      </c>
      <c r="G513">
        <v>5035</v>
      </c>
    </row>
    <row r="514" spans="1:7" x14ac:dyDescent="0.2">
      <c r="A514">
        <v>25850</v>
      </c>
      <c r="B514">
        <v>2189</v>
      </c>
      <c r="C514">
        <v>3227</v>
      </c>
      <c r="D514">
        <v>3775</v>
      </c>
      <c r="E514">
        <v>4216</v>
      </c>
      <c r="F514">
        <v>4638</v>
      </c>
      <c r="G514">
        <v>5042</v>
      </c>
    </row>
    <row r="515" spans="1:7" x14ac:dyDescent="0.2">
      <c r="A515">
        <v>25900</v>
      </c>
      <c r="B515">
        <v>2192</v>
      </c>
      <c r="C515">
        <v>3232</v>
      </c>
      <c r="D515">
        <v>3780</v>
      </c>
      <c r="E515">
        <v>4222</v>
      </c>
      <c r="F515">
        <v>4644</v>
      </c>
      <c r="G515">
        <v>5048</v>
      </c>
    </row>
    <row r="516" spans="1:7" x14ac:dyDescent="0.2">
      <c r="A516">
        <v>25950</v>
      </c>
      <c r="B516">
        <v>2195</v>
      </c>
      <c r="C516">
        <v>3236</v>
      </c>
      <c r="D516">
        <v>3785</v>
      </c>
      <c r="E516">
        <v>4227</v>
      </c>
      <c r="F516">
        <v>4650</v>
      </c>
      <c r="G516">
        <v>5055</v>
      </c>
    </row>
    <row r="517" spans="1:7" x14ac:dyDescent="0.2">
      <c r="A517">
        <v>26000</v>
      </c>
      <c r="B517">
        <v>2198</v>
      </c>
      <c r="C517">
        <v>3240</v>
      </c>
      <c r="D517">
        <v>3790</v>
      </c>
      <c r="E517">
        <v>4233</v>
      </c>
      <c r="F517">
        <v>4656</v>
      </c>
      <c r="G517">
        <v>5061</v>
      </c>
    </row>
    <row r="518" spans="1:7" x14ac:dyDescent="0.2">
      <c r="A518">
        <v>26050</v>
      </c>
      <c r="B518">
        <v>2201</v>
      </c>
      <c r="C518">
        <v>3245</v>
      </c>
      <c r="D518">
        <v>3794</v>
      </c>
      <c r="E518">
        <v>4238</v>
      </c>
      <c r="F518">
        <v>4662</v>
      </c>
      <c r="G518">
        <v>5068</v>
      </c>
    </row>
    <row r="519" spans="1:7" x14ac:dyDescent="0.2">
      <c r="A519">
        <v>26100</v>
      </c>
      <c r="B519">
        <v>2205</v>
      </c>
      <c r="C519">
        <v>3249</v>
      </c>
      <c r="D519">
        <v>3799</v>
      </c>
      <c r="E519">
        <v>4244</v>
      </c>
      <c r="F519">
        <v>4668</v>
      </c>
      <c r="G519">
        <v>5074</v>
      </c>
    </row>
    <row r="520" spans="1:7" x14ac:dyDescent="0.2">
      <c r="A520">
        <v>26150</v>
      </c>
      <c r="B520">
        <v>2208</v>
      </c>
      <c r="C520">
        <v>3254</v>
      </c>
      <c r="D520">
        <v>3804</v>
      </c>
      <c r="E520">
        <v>4249</v>
      </c>
      <c r="F520">
        <v>4674</v>
      </c>
      <c r="G520">
        <v>5081</v>
      </c>
    </row>
    <row r="521" spans="1:7" x14ac:dyDescent="0.2">
      <c r="A521">
        <v>26200</v>
      </c>
      <c r="B521">
        <v>2211</v>
      </c>
      <c r="C521">
        <v>3258</v>
      </c>
      <c r="D521">
        <v>3809</v>
      </c>
      <c r="E521">
        <v>4255</v>
      </c>
      <c r="F521">
        <v>4680</v>
      </c>
      <c r="G521">
        <v>5088</v>
      </c>
    </row>
    <row r="522" spans="1:7" x14ac:dyDescent="0.2">
      <c r="A522">
        <v>26250</v>
      </c>
      <c r="B522">
        <v>2214</v>
      </c>
      <c r="C522">
        <v>3263</v>
      </c>
      <c r="D522">
        <v>3814</v>
      </c>
      <c r="E522">
        <v>4260</v>
      </c>
      <c r="F522">
        <v>4686</v>
      </c>
      <c r="G522">
        <v>5094</v>
      </c>
    </row>
    <row r="523" spans="1:7" x14ac:dyDescent="0.2">
      <c r="A523">
        <v>26300</v>
      </c>
      <c r="B523">
        <v>2217</v>
      </c>
      <c r="C523">
        <v>3267</v>
      </c>
      <c r="D523">
        <v>3819</v>
      </c>
      <c r="E523">
        <v>4266</v>
      </c>
      <c r="F523">
        <v>4692</v>
      </c>
      <c r="G523">
        <v>5101</v>
      </c>
    </row>
    <row r="524" spans="1:7" x14ac:dyDescent="0.2">
      <c r="A524">
        <v>26350</v>
      </c>
      <c r="B524">
        <v>2221</v>
      </c>
      <c r="C524">
        <v>3272</v>
      </c>
      <c r="D524">
        <v>3824</v>
      </c>
      <c r="E524">
        <v>4271</v>
      </c>
      <c r="F524">
        <v>4699</v>
      </c>
      <c r="G524">
        <v>5107</v>
      </c>
    </row>
    <row r="525" spans="1:7" x14ac:dyDescent="0.2">
      <c r="A525">
        <v>26400</v>
      </c>
      <c r="B525">
        <v>2224</v>
      </c>
      <c r="C525">
        <v>3276</v>
      </c>
      <c r="D525">
        <v>3829</v>
      </c>
      <c r="E525">
        <v>4277</v>
      </c>
      <c r="F525">
        <v>4705</v>
      </c>
      <c r="G525">
        <v>5114</v>
      </c>
    </row>
    <row r="526" spans="1:7" x14ac:dyDescent="0.2">
      <c r="A526">
        <v>26450</v>
      </c>
      <c r="B526">
        <v>2227</v>
      </c>
      <c r="C526">
        <v>3281</v>
      </c>
      <c r="D526">
        <v>3834</v>
      </c>
      <c r="E526">
        <v>4282</v>
      </c>
      <c r="F526">
        <v>4711</v>
      </c>
      <c r="G526">
        <v>5120</v>
      </c>
    </row>
    <row r="527" spans="1:7" x14ac:dyDescent="0.2">
      <c r="A527">
        <v>26500</v>
      </c>
      <c r="B527">
        <v>2230</v>
      </c>
      <c r="C527">
        <v>3285</v>
      </c>
      <c r="D527">
        <v>3839</v>
      </c>
      <c r="E527">
        <v>4288</v>
      </c>
      <c r="F527">
        <v>4717</v>
      </c>
      <c r="G527">
        <v>5127</v>
      </c>
    </row>
    <row r="528" spans="1:7" x14ac:dyDescent="0.2">
      <c r="A528">
        <v>26550</v>
      </c>
      <c r="B528">
        <v>2234</v>
      </c>
      <c r="C528">
        <v>3290</v>
      </c>
      <c r="D528">
        <v>3844</v>
      </c>
      <c r="E528">
        <v>4293</v>
      </c>
      <c r="F528">
        <v>4723</v>
      </c>
      <c r="G528">
        <v>5134</v>
      </c>
    </row>
    <row r="529" spans="1:7" x14ac:dyDescent="0.2">
      <c r="A529">
        <v>26600</v>
      </c>
      <c r="B529">
        <v>2237</v>
      </c>
      <c r="C529">
        <v>3294</v>
      </c>
      <c r="D529">
        <v>3849</v>
      </c>
      <c r="E529">
        <v>4299</v>
      </c>
      <c r="F529">
        <v>4729</v>
      </c>
      <c r="G529">
        <v>5140</v>
      </c>
    </row>
    <row r="530" spans="1:7" x14ac:dyDescent="0.2">
      <c r="A530">
        <v>26650</v>
      </c>
      <c r="B530">
        <v>2240</v>
      </c>
      <c r="C530">
        <v>3299</v>
      </c>
      <c r="D530">
        <v>3853</v>
      </c>
      <c r="E530">
        <v>4304</v>
      </c>
      <c r="F530">
        <v>4735</v>
      </c>
      <c r="G530">
        <v>5147</v>
      </c>
    </row>
    <row r="531" spans="1:7" x14ac:dyDescent="0.2">
      <c r="A531">
        <v>26700</v>
      </c>
      <c r="B531">
        <v>2243</v>
      </c>
      <c r="C531">
        <v>3303</v>
      </c>
      <c r="D531">
        <v>3858</v>
      </c>
      <c r="E531">
        <v>4310</v>
      </c>
      <c r="F531">
        <v>4741</v>
      </c>
      <c r="G531">
        <v>5153</v>
      </c>
    </row>
    <row r="532" spans="1:7" x14ac:dyDescent="0.2">
      <c r="A532">
        <v>26750</v>
      </c>
      <c r="B532">
        <v>2246</v>
      </c>
      <c r="C532">
        <v>3308</v>
      </c>
      <c r="D532">
        <v>3863</v>
      </c>
      <c r="E532">
        <v>4315</v>
      </c>
      <c r="F532">
        <v>4747</v>
      </c>
      <c r="G532">
        <v>5160</v>
      </c>
    </row>
    <row r="533" spans="1:7" x14ac:dyDescent="0.2">
      <c r="A533">
        <v>26800</v>
      </c>
      <c r="B533">
        <v>2250</v>
      </c>
      <c r="C533">
        <v>3312</v>
      </c>
      <c r="D533">
        <v>3868</v>
      </c>
      <c r="E533">
        <v>4321</v>
      </c>
      <c r="F533">
        <v>4753</v>
      </c>
      <c r="G533">
        <v>5166</v>
      </c>
    </row>
    <row r="534" spans="1:7" x14ac:dyDescent="0.2">
      <c r="A534">
        <v>26850</v>
      </c>
      <c r="B534">
        <v>2253</v>
      </c>
      <c r="C534">
        <v>3317</v>
      </c>
      <c r="D534">
        <v>3873</v>
      </c>
      <c r="E534">
        <v>4326</v>
      </c>
      <c r="F534">
        <v>4759</v>
      </c>
      <c r="G534">
        <v>5173</v>
      </c>
    </row>
    <row r="535" spans="1:7" x14ac:dyDescent="0.2">
      <c r="A535">
        <v>26900</v>
      </c>
      <c r="B535">
        <v>2256</v>
      </c>
      <c r="C535">
        <v>3321</v>
      </c>
      <c r="D535">
        <v>3878</v>
      </c>
      <c r="E535">
        <v>4332</v>
      </c>
      <c r="F535">
        <v>4765</v>
      </c>
      <c r="G535">
        <v>5180</v>
      </c>
    </row>
    <row r="536" spans="1:7" x14ac:dyDescent="0.2">
      <c r="A536">
        <v>26950</v>
      </c>
      <c r="B536">
        <v>2259</v>
      </c>
      <c r="C536">
        <v>3326</v>
      </c>
      <c r="D536">
        <v>3883</v>
      </c>
      <c r="E536">
        <v>4337</v>
      </c>
      <c r="F536">
        <v>4771</v>
      </c>
      <c r="G536">
        <v>5186</v>
      </c>
    </row>
    <row r="537" spans="1:7" x14ac:dyDescent="0.2">
      <c r="A537">
        <v>27000</v>
      </c>
      <c r="B537">
        <v>2263</v>
      </c>
      <c r="C537">
        <v>3330</v>
      </c>
      <c r="D537">
        <v>3888</v>
      </c>
      <c r="E537">
        <v>4343</v>
      </c>
      <c r="F537">
        <v>4777</v>
      </c>
      <c r="G537">
        <v>5193</v>
      </c>
    </row>
    <row r="538" spans="1:7" x14ac:dyDescent="0.2">
      <c r="A538">
        <v>27050</v>
      </c>
      <c r="B538">
        <v>2266</v>
      </c>
      <c r="C538">
        <v>3335</v>
      </c>
      <c r="D538">
        <v>3893</v>
      </c>
      <c r="E538">
        <v>4348</v>
      </c>
      <c r="F538">
        <v>4783</v>
      </c>
      <c r="G538">
        <v>5199</v>
      </c>
    </row>
    <row r="539" spans="1:7" x14ac:dyDescent="0.2">
      <c r="A539">
        <v>27100</v>
      </c>
      <c r="B539">
        <v>2269</v>
      </c>
      <c r="C539">
        <v>3339</v>
      </c>
      <c r="D539">
        <v>3898</v>
      </c>
      <c r="E539">
        <v>4354</v>
      </c>
      <c r="F539">
        <v>4789</v>
      </c>
      <c r="G539">
        <v>5206</v>
      </c>
    </row>
    <row r="540" spans="1:7" x14ac:dyDescent="0.2">
      <c r="A540">
        <v>27150</v>
      </c>
      <c r="B540">
        <v>2272</v>
      </c>
      <c r="C540">
        <v>3344</v>
      </c>
      <c r="D540">
        <v>3903</v>
      </c>
      <c r="E540">
        <v>4359</v>
      </c>
      <c r="F540">
        <v>4795</v>
      </c>
      <c r="G540">
        <v>5212</v>
      </c>
    </row>
    <row r="541" spans="1:7" x14ac:dyDescent="0.2">
      <c r="A541">
        <v>27200</v>
      </c>
      <c r="B541">
        <v>2275</v>
      </c>
      <c r="C541">
        <v>3348</v>
      </c>
      <c r="D541">
        <v>3908</v>
      </c>
      <c r="E541">
        <v>4365</v>
      </c>
      <c r="F541">
        <v>4801</v>
      </c>
      <c r="G541">
        <v>5219</v>
      </c>
    </row>
    <row r="542" spans="1:7" x14ac:dyDescent="0.2">
      <c r="A542">
        <v>27250</v>
      </c>
      <c r="B542">
        <v>2279</v>
      </c>
      <c r="C542">
        <v>3353</v>
      </c>
      <c r="D542">
        <v>3912</v>
      </c>
      <c r="E542">
        <v>4370</v>
      </c>
      <c r="F542">
        <v>4807</v>
      </c>
      <c r="G542">
        <v>5225</v>
      </c>
    </row>
    <row r="543" spans="1:7" x14ac:dyDescent="0.2">
      <c r="A543">
        <v>27300</v>
      </c>
      <c r="B543">
        <v>2282</v>
      </c>
      <c r="C543">
        <v>3357</v>
      </c>
      <c r="D543">
        <v>3917</v>
      </c>
      <c r="E543">
        <v>4376</v>
      </c>
      <c r="F543">
        <v>4813</v>
      </c>
      <c r="G543">
        <v>5232</v>
      </c>
    </row>
    <row r="544" spans="1:7" x14ac:dyDescent="0.2">
      <c r="A544">
        <v>27350</v>
      </c>
      <c r="B544">
        <v>2285</v>
      </c>
      <c r="C544">
        <v>3361</v>
      </c>
      <c r="D544">
        <v>3922</v>
      </c>
      <c r="E544">
        <v>4381</v>
      </c>
      <c r="F544">
        <v>4819</v>
      </c>
      <c r="G544">
        <v>5239</v>
      </c>
    </row>
    <row r="545" spans="1:7" x14ac:dyDescent="0.2">
      <c r="A545">
        <v>27400</v>
      </c>
      <c r="B545">
        <v>2288</v>
      </c>
      <c r="C545">
        <v>3366</v>
      </c>
      <c r="D545">
        <v>3927</v>
      </c>
      <c r="E545">
        <v>4387</v>
      </c>
      <c r="F545">
        <v>4825</v>
      </c>
      <c r="G545">
        <v>5245</v>
      </c>
    </row>
    <row r="546" spans="1:7" x14ac:dyDescent="0.2">
      <c r="A546">
        <v>27450</v>
      </c>
      <c r="B546">
        <v>2291</v>
      </c>
      <c r="C546">
        <v>3370</v>
      </c>
      <c r="D546">
        <v>3932</v>
      </c>
      <c r="E546">
        <v>4392</v>
      </c>
      <c r="F546">
        <v>4831</v>
      </c>
      <c r="G546">
        <v>5252</v>
      </c>
    </row>
    <row r="547" spans="1:7" x14ac:dyDescent="0.2">
      <c r="A547">
        <v>27500</v>
      </c>
      <c r="B547">
        <v>2295</v>
      </c>
      <c r="C547">
        <v>3375</v>
      </c>
      <c r="D547">
        <v>3937</v>
      </c>
      <c r="E547">
        <v>4398</v>
      </c>
      <c r="F547">
        <v>4837</v>
      </c>
      <c r="G547">
        <v>5258</v>
      </c>
    </row>
    <row r="548" spans="1:7" x14ac:dyDescent="0.2">
      <c r="A548">
        <v>27550</v>
      </c>
      <c r="B548">
        <v>2298</v>
      </c>
      <c r="C548">
        <v>3379</v>
      </c>
      <c r="D548">
        <v>3942</v>
      </c>
      <c r="E548">
        <v>4403</v>
      </c>
      <c r="F548">
        <v>4843</v>
      </c>
      <c r="G548">
        <v>5265</v>
      </c>
    </row>
    <row r="549" spans="1:7" x14ac:dyDescent="0.2">
      <c r="A549">
        <v>27600</v>
      </c>
      <c r="B549">
        <v>2301</v>
      </c>
      <c r="C549">
        <v>3384</v>
      </c>
      <c r="D549">
        <v>3947</v>
      </c>
      <c r="E549">
        <v>4409</v>
      </c>
      <c r="F549">
        <v>4849</v>
      </c>
      <c r="G549">
        <v>5271</v>
      </c>
    </row>
    <row r="550" spans="1:7" x14ac:dyDescent="0.2">
      <c r="A550">
        <v>27650</v>
      </c>
      <c r="B550">
        <v>2304</v>
      </c>
      <c r="C550">
        <v>3388</v>
      </c>
      <c r="D550">
        <v>3952</v>
      </c>
      <c r="E550">
        <v>4414</v>
      </c>
      <c r="F550">
        <v>4856</v>
      </c>
      <c r="G550">
        <v>5278</v>
      </c>
    </row>
    <row r="551" spans="1:7" x14ac:dyDescent="0.2">
      <c r="A551">
        <v>27700</v>
      </c>
      <c r="B551">
        <v>2308</v>
      </c>
      <c r="C551">
        <v>3393</v>
      </c>
      <c r="D551">
        <v>3957</v>
      </c>
      <c r="E551">
        <v>4420</v>
      </c>
      <c r="F551">
        <v>4862</v>
      </c>
      <c r="G551">
        <v>5285</v>
      </c>
    </row>
    <row r="552" spans="1:7" x14ac:dyDescent="0.2">
      <c r="A552">
        <v>27750</v>
      </c>
      <c r="B552">
        <v>2311</v>
      </c>
      <c r="C552">
        <v>3397</v>
      </c>
      <c r="D552">
        <v>3962</v>
      </c>
      <c r="E552">
        <v>4425</v>
      </c>
      <c r="F552">
        <v>4868</v>
      </c>
      <c r="G552">
        <v>5291</v>
      </c>
    </row>
    <row r="553" spans="1:7" x14ac:dyDescent="0.2">
      <c r="A553">
        <v>27800</v>
      </c>
      <c r="B553">
        <v>2314</v>
      </c>
      <c r="C553">
        <v>3402</v>
      </c>
      <c r="D553">
        <v>3967</v>
      </c>
      <c r="E553">
        <v>4431</v>
      </c>
      <c r="F553">
        <v>4874</v>
      </c>
      <c r="G553">
        <v>5298</v>
      </c>
    </row>
    <row r="554" spans="1:7" x14ac:dyDescent="0.2">
      <c r="A554">
        <v>27850</v>
      </c>
      <c r="B554">
        <v>2317</v>
      </c>
      <c r="C554">
        <v>3406</v>
      </c>
      <c r="D554">
        <v>3971</v>
      </c>
      <c r="E554">
        <v>4436</v>
      </c>
      <c r="F554">
        <v>4880</v>
      </c>
      <c r="G554">
        <v>5304</v>
      </c>
    </row>
    <row r="555" spans="1:7" x14ac:dyDescent="0.2">
      <c r="A555">
        <v>27900</v>
      </c>
      <c r="B555">
        <v>2320</v>
      </c>
      <c r="C555">
        <v>3411</v>
      </c>
      <c r="D555">
        <v>3976</v>
      </c>
      <c r="E555">
        <v>4442</v>
      </c>
      <c r="F555">
        <v>4886</v>
      </c>
      <c r="G555">
        <v>5311</v>
      </c>
    </row>
    <row r="556" spans="1:7" x14ac:dyDescent="0.2">
      <c r="A556">
        <v>27950</v>
      </c>
      <c r="B556">
        <v>2324</v>
      </c>
      <c r="C556">
        <v>3415</v>
      </c>
      <c r="D556">
        <v>3981</v>
      </c>
      <c r="E556">
        <v>4447</v>
      </c>
      <c r="F556">
        <v>4892</v>
      </c>
      <c r="G556">
        <v>5317</v>
      </c>
    </row>
    <row r="557" spans="1:7" x14ac:dyDescent="0.2">
      <c r="A557">
        <v>28000</v>
      </c>
      <c r="B557">
        <v>2327</v>
      </c>
      <c r="C557">
        <v>3420</v>
      </c>
      <c r="D557">
        <v>3986</v>
      </c>
      <c r="E557">
        <v>4453</v>
      </c>
      <c r="F557">
        <v>4898</v>
      </c>
      <c r="G557">
        <v>5324</v>
      </c>
    </row>
    <row r="558" spans="1:7" x14ac:dyDescent="0.2">
      <c r="A558">
        <v>28050</v>
      </c>
      <c r="B558">
        <v>2330</v>
      </c>
      <c r="C558">
        <v>3424</v>
      </c>
      <c r="D558">
        <v>3991</v>
      </c>
      <c r="E558">
        <v>4458</v>
      </c>
      <c r="F558">
        <v>4904</v>
      </c>
      <c r="G558">
        <v>5330</v>
      </c>
    </row>
    <row r="559" spans="1:7" x14ac:dyDescent="0.2">
      <c r="A559">
        <v>28100</v>
      </c>
      <c r="B559">
        <v>2333</v>
      </c>
      <c r="C559">
        <v>3429</v>
      </c>
      <c r="D559">
        <v>3996</v>
      </c>
      <c r="E559">
        <v>4464</v>
      </c>
      <c r="F559">
        <v>4910</v>
      </c>
      <c r="G559">
        <v>5337</v>
      </c>
    </row>
    <row r="560" spans="1:7" x14ac:dyDescent="0.2">
      <c r="A560">
        <v>28150</v>
      </c>
      <c r="B560">
        <v>2337</v>
      </c>
      <c r="C560">
        <v>3433</v>
      </c>
      <c r="D560">
        <v>4001</v>
      </c>
      <c r="E560">
        <v>4469</v>
      </c>
      <c r="F560">
        <v>4916</v>
      </c>
      <c r="G560">
        <v>5344</v>
      </c>
    </row>
    <row r="561" spans="1:7" x14ac:dyDescent="0.2">
      <c r="A561">
        <v>28200</v>
      </c>
      <c r="B561">
        <v>2340</v>
      </c>
      <c r="C561">
        <v>3438</v>
      </c>
      <c r="D561">
        <v>4006</v>
      </c>
      <c r="E561">
        <v>4475</v>
      </c>
      <c r="F561">
        <v>4922</v>
      </c>
      <c r="G561">
        <v>5350</v>
      </c>
    </row>
    <row r="562" spans="1:7" x14ac:dyDescent="0.2">
      <c r="A562">
        <v>28250</v>
      </c>
      <c r="B562">
        <v>2343</v>
      </c>
      <c r="C562">
        <v>3442</v>
      </c>
      <c r="D562">
        <v>4011</v>
      </c>
      <c r="E562">
        <v>4480</v>
      </c>
      <c r="F562">
        <v>4928</v>
      </c>
      <c r="G562">
        <v>5357</v>
      </c>
    </row>
    <row r="563" spans="1:7" x14ac:dyDescent="0.2">
      <c r="A563">
        <v>28300</v>
      </c>
      <c r="B563">
        <v>2346</v>
      </c>
      <c r="C563">
        <v>3447</v>
      </c>
      <c r="D563">
        <v>4016</v>
      </c>
      <c r="E563">
        <v>4485</v>
      </c>
      <c r="F563">
        <v>4934</v>
      </c>
      <c r="G563">
        <v>5363</v>
      </c>
    </row>
    <row r="564" spans="1:7" x14ac:dyDescent="0.2">
      <c r="A564">
        <v>28350</v>
      </c>
      <c r="B564">
        <v>2349</v>
      </c>
      <c r="C564">
        <v>3451</v>
      </c>
      <c r="D564">
        <v>4021</v>
      </c>
      <c r="E564">
        <v>4491</v>
      </c>
      <c r="F564">
        <v>4940</v>
      </c>
      <c r="G564">
        <v>5370</v>
      </c>
    </row>
    <row r="565" spans="1:7" x14ac:dyDescent="0.2">
      <c r="A565">
        <v>28400</v>
      </c>
      <c r="B565">
        <v>2353</v>
      </c>
      <c r="C565">
        <v>3456</v>
      </c>
      <c r="D565">
        <v>4025</v>
      </c>
      <c r="E565">
        <v>4496</v>
      </c>
      <c r="F565">
        <v>4946</v>
      </c>
      <c r="G565">
        <v>5376</v>
      </c>
    </row>
    <row r="566" spans="1:7" x14ac:dyDescent="0.2">
      <c r="A566">
        <v>28450</v>
      </c>
      <c r="B566">
        <v>2356</v>
      </c>
      <c r="C566">
        <v>3460</v>
      </c>
      <c r="D566">
        <v>4030</v>
      </c>
      <c r="E566">
        <v>4502</v>
      </c>
      <c r="F566">
        <v>4952</v>
      </c>
      <c r="G566">
        <v>5383</v>
      </c>
    </row>
    <row r="567" spans="1:7" x14ac:dyDescent="0.2">
      <c r="A567">
        <v>28500</v>
      </c>
      <c r="B567">
        <v>2359</v>
      </c>
      <c r="C567">
        <v>3465</v>
      </c>
      <c r="D567">
        <v>4035</v>
      </c>
      <c r="E567">
        <v>4507</v>
      </c>
      <c r="F567">
        <v>4958</v>
      </c>
      <c r="G567">
        <v>5390</v>
      </c>
    </row>
    <row r="568" spans="1:7" x14ac:dyDescent="0.2">
      <c r="A568">
        <v>28550</v>
      </c>
      <c r="B568">
        <v>2362</v>
      </c>
      <c r="C568">
        <v>3469</v>
      </c>
      <c r="D568">
        <v>4040</v>
      </c>
      <c r="E568">
        <v>4513</v>
      </c>
      <c r="F568">
        <v>4964</v>
      </c>
      <c r="G568">
        <v>5396</v>
      </c>
    </row>
    <row r="569" spans="1:7" x14ac:dyDescent="0.2">
      <c r="A569">
        <v>28600</v>
      </c>
      <c r="B569">
        <v>2366</v>
      </c>
      <c r="C569">
        <v>3474</v>
      </c>
      <c r="D569">
        <v>4045</v>
      </c>
      <c r="E569">
        <v>4518</v>
      </c>
      <c r="F569">
        <v>4970</v>
      </c>
      <c r="G569">
        <v>5403</v>
      </c>
    </row>
    <row r="570" spans="1:7" x14ac:dyDescent="0.2">
      <c r="A570">
        <v>28650</v>
      </c>
      <c r="B570">
        <v>2369</v>
      </c>
      <c r="C570">
        <v>3478</v>
      </c>
      <c r="D570">
        <v>4050</v>
      </c>
      <c r="E570">
        <v>4524</v>
      </c>
      <c r="F570">
        <v>4976</v>
      </c>
      <c r="G570">
        <v>5409</v>
      </c>
    </row>
    <row r="571" spans="1:7" x14ac:dyDescent="0.2">
      <c r="A571">
        <v>28700</v>
      </c>
      <c r="B571">
        <v>2372</v>
      </c>
      <c r="C571">
        <v>3482</v>
      </c>
      <c r="D571">
        <v>4055</v>
      </c>
      <c r="E571">
        <v>4529</v>
      </c>
      <c r="F571">
        <v>4982</v>
      </c>
      <c r="G571">
        <v>5416</v>
      </c>
    </row>
    <row r="572" spans="1:7" x14ac:dyDescent="0.2">
      <c r="A572">
        <v>28750</v>
      </c>
      <c r="B572">
        <v>2375</v>
      </c>
      <c r="C572">
        <v>3487</v>
      </c>
      <c r="D572">
        <v>4060</v>
      </c>
      <c r="E572">
        <v>4535</v>
      </c>
      <c r="F572">
        <v>4988</v>
      </c>
      <c r="G572">
        <v>5422</v>
      </c>
    </row>
    <row r="573" spans="1:7" x14ac:dyDescent="0.2">
      <c r="A573">
        <v>28800</v>
      </c>
      <c r="B573">
        <v>2378</v>
      </c>
      <c r="C573">
        <v>3491</v>
      </c>
      <c r="D573">
        <v>4065</v>
      </c>
      <c r="E573">
        <v>4540</v>
      </c>
      <c r="F573">
        <v>4994</v>
      </c>
      <c r="G573">
        <v>5429</v>
      </c>
    </row>
    <row r="574" spans="1:7" x14ac:dyDescent="0.2">
      <c r="A574">
        <v>28850</v>
      </c>
      <c r="B574">
        <v>2382</v>
      </c>
      <c r="C574">
        <v>3496</v>
      </c>
      <c r="D574">
        <v>4070</v>
      </c>
      <c r="E574">
        <v>4546</v>
      </c>
      <c r="F574">
        <v>5000</v>
      </c>
      <c r="G574">
        <v>5436</v>
      </c>
    </row>
    <row r="575" spans="1:7" x14ac:dyDescent="0.2">
      <c r="A575">
        <v>28900</v>
      </c>
      <c r="B575">
        <v>2385</v>
      </c>
      <c r="C575">
        <v>3500</v>
      </c>
      <c r="D575">
        <v>4075</v>
      </c>
      <c r="E575">
        <v>4551</v>
      </c>
      <c r="F575">
        <v>5007</v>
      </c>
      <c r="G575">
        <v>5442</v>
      </c>
    </row>
    <row r="576" spans="1:7" x14ac:dyDescent="0.2">
      <c r="A576">
        <v>28950</v>
      </c>
      <c r="B576">
        <v>2388</v>
      </c>
      <c r="C576">
        <v>3505</v>
      </c>
      <c r="D576">
        <v>4080</v>
      </c>
      <c r="E576">
        <v>4557</v>
      </c>
      <c r="F576">
        <v>5013</v>
      </c>
      <c r="G576">
        <v>5449</v>
      </c>
    </row>
    <row r="577" spans="1:7" x14ac:dyDescent="0.2">
      <c r="A577">
        <v>29000</v>
      </c>
      <c r="B577">
        <v>2391</v>
      </c>
      <c r="C577">
        <v>3509</v>
      </c>
      <c r="D577">
        <v>4084</v>
      </c>
      <c r="E577">
        <v>4562</v>
      </c>
      <c r="F577">
        <v>5019</v>
      </c>
      <c r="G577">
        <v>5455</v>
      </c>
    </row>
    <row r="578" spans="1:7" x14ac:dyDescent="0.2">
      <c r="A578">
        <v>29050</v>
      </c>
      <c r="B578">
        <v>2394</v>
      </c>
      <c r="C578">
        <v>3514</v>
      </c>
      <c r="D578">
        <v>4089</v>
      </c>
      <c r="E578">
        <v>4568</v>
      </c>
      <c r="F578">
        <v>5025</v>
      </c>
      <c r="G578">
        <v>5462</v>
      </c>
    </row>
    <row r="579" spans="1:7" x14ac:dyDescent="0.2">
      <c r="A579">
        <v>29100</v>
      </c>
      <c r="B579">
        <v>2398</v>
      </c>
      <c r="C579">
        <v>3518</v>
      </c>
      <c r="D579">
        <v>4094</v>
      </c>
      <c r="E579">
        <v>4573</v>
      </c>
      <c r="F579">
        <v>5031</v>
      </c>
      <c r="G579">
        <v>5468</v>
      </c>
    </row>
    <row r="580" spans="1:7" x14ac:dyDescent="0.2">
      <c r="A580">
        <v>29150</v>
      </c>
      <c r="B580">
        <v>2401</v>
      </c>
      <c r="C580">
        <v>3523</v>
      </c>
      <c r="D580">
        <v>4099</v>
      </c>
      <c r="E580">
        <v>4579</v>
      </c>
      <c r="F580">
        <v>5037</v>
      </c>
      <c r="G580">
        <v>5475</v>
      </c>
    </row>
    <row r="581" spans="1:7" x14ac:dyDescent="0.2">
      <c r="A581">
        <v>29200</v>
      </c>
      <c r="B581">
        <v>2404</v>
      </c>
      <c r="C581">
        <v>3527</v>
      </c>
      <c r="D581">
        <v>4104</v>
      </c>
      <c r="E581">
        <v>4584</v>
      </c>
      <c r="F581">
        <v>5043</v>
      </c>
      <c r="G581">
        <v>5481</v>
      </c>
    </row>
    <row r="582" spans="1:7" x14ac:dyDescent="0.2">
      <c r="A582">
        <v>29250</v>
      </c>
      <c r="B582">
        <v>2407</v>
      </c>
      <c r="C582">
        <v>3532</v>
      </c>
      <c r="D582">
        <v>4109</v>
      </c>
      <c r="E582">
        <v>4590</v>
      </c>
      <c r="F582">
        <v>5049</v>
      </c>
      <c r="G582">
        <v>5488</v>
      </c>
    </row>
    <row r="583" spans="1:7" x14ac:dyDescent="0.2">
      <c r="A583">
        <v>29300</v>
      </c>
      <c r="B583">
        <v>2411</v>
      </c>
      <c r="C583">
        <v>3536</v>
      </c>
      <c r="D583">
        <v>4114</v>
      </c>
      <c r="E583">
        <v>4595</v>
      </c>
      <c r="F583">
        <v>5055</v>
      </c>
      <c r="G583">
        <v>5495</v>
      </c>
    </row>
    <row r="584" spans="1:7" x14ac:dyDescent="0.2">
      <c r="A584">
        <v>29350</v>
      </c>
      <c r="B584">
        <v>2414</v>
      </c>
      <c r="C584">
        <v>3541</v>
      </c>
      <c r="D584">
        <v>4119</v>
      </c>
      <c r="E584">
        <v>4601</v>
      </c>
      <c r="F584">
        <v>5061</v>
      </c>
      <c r="G584">
        <v>5501</v>
      </c>
    </row>
    <row r="585" spans="1:7" x14ac:dyDescent="0.2">
      <c r="A585">
        <v>29400</v>
      </c>
      <c r="B585">
        <v>2417</v>
      </c>
      <c r="C585">
        <v>3545</v>
      </c>
      <c r="D585">
        <v>4124</v>
      </c>
      <c r="E585">
        <v>4606</v>
      </c>
      <c r="F585">
        <v>5067</v>
      </c>
      <c r="G585">
        <v>5508</v>
      </c>
    </row>
    <row r="586" spans="1:7" x14ac:dyDescent="0.2">
      <c r="A586">
        <v>29450</v>
      </c>
      <c r="B586">
        <v>2420</v>
      </c>
      <c r="C586">
        <v>3550</v>
      </c>
      <c r="D586">
        <v>4129</v>
      </c>
      <c r="E586">
        <v>4612</v>
      </c>
      <c r="F586">
        <v>5073</v>
      </c>
      <c r="G586">
        <v>5514</v>
      </c>
    </row>
    <row r="587" spans="1:7" x14ac:dyDescent="0.2">
      <c r="A587">
        <v>29500</v>
      </c>
      <c r="B587">
        <v>2423</v>
      </c>
      <c r="C587">
        <v>3554</v>
      </c>
      <c r="D587">
        <v>4134</v>
      </c>
      <c r="E587">
        <v>4617</v>
      </c>
      <c r="F587">
        <v>5079</v>
      </c>
      <c r="G587">
        <v>5521</v>
      </c>
    </row>
    <row r="588" spans="1:7" x14ac:dyDescent="0.2">
      <c r="A588">
        <v>29550</v>
      </c>
      <c r="B588">
        <v>2427</v>
      </c>
      <c r="C588">
        <v>3559</v>
      </c>
      <c r="D588">
        <v>4139</v>
      </c>
      <c r="E588">
        <v>4623</v>
      </c>
      <c r="F588">
        <v>5085</v>
      </c>
      <c r="G588">
        <v>5527</v>
      </c>
    </row>
    <row r="589" spans="1:7" x14ac:dyDescent="0.2">
      <c r="A589">
        <v>29600</v>
      </c>
      <c r="B589">
        <v>2430</v>
      </c>
      <c r="C589">
        <v>3563</v>
      </c>
      <c r="D589">
        <v>4143</v>
      </c>
      <c r="E589">
        <v>4628</v>
      </c>
      <c r="F589">
        <v>5091</v>
      </c>
      <c r="G589">
        <v>5534</v>
      </c>
    </row>
    <row r="590" spans="1:7" x14ac:dyDescent="0.2">
      <c r="A590">
        <v>29650</v>
      </c>
      <c r="B590">
        <v>2433</v>
      </c>
      <c r="C590">
        <v>3568</v>
      </c>
      <c r="D590">
        <v>4148</v>
      </c>
      <c r="E590">
        <v>4634</v>
      </c>
      <c r="F590">
        <v>5097</v>
      </c>
      <c r="G590">
        <v>5541</v>
      </c>
    </row>
    <row r="591" spans="1:7" x14ac:dyDescent="0.2">
      <c r="A591">
        <v>29700</v>
      </c>
      <c r="B591">
        <v>2436</v>
      </c>
      <c r="C591">
        <v>3572</v>
      </c>
      <c r="D591">
        <v>4153</v>
      </c>
      <c r="E591">
        <v>4639</v>
      </c>
      <c r="F591">
        <v>5103</v>
      </c>
      <c r="G591">
        <v>5547</v>
      </c>
    </row>
    <row r="592" spans="1:7" x14ac:dyDescent="0.2">
      <c r="A592">
        <v>29750</v>
      </c>
      <c r="B592">
        <v>2440</v>
      </c>
      <c r="C592">
        <v>3577</v>
      </c>
      <c r="D592">
        <v>4158</v>
      </c>
      <c r="E592">
        <v>4645</v>
      </c>
      <c r="F592">
        <v>5109</v>
      </c>
      <c r="G592">
        <v>5554</v>
      </c>
    </row>
    <row r="593" spans="1:7" x14ac:dyDescent="0.2">
      <c r="A593">
        <v>29800</v>
      </c>
      <c r="B593">
        <v>2443</v>
      </c>
      <c r="C593">
        <v>3581</v>
      </c>
      <c r="D593">
        <v>4163</v>
      </c>
      <c r="E593">
        <v>4650</v>
      </c>
      <c r="F593">
        <v>5115</v>
      </c>
      <c r="G593">
        <v>5560</v>
      </c>
    </row>
    <row r="594" spans="1:7" x14ac:dyDescent="0.2">
      <c r="A594">
        <v>29850</v>
      </c>
      <c r="B594">
        <v>2446</v>
      </c>
      <c r="C594">
        <v>3586</v>
      </c>
      <c r="D594">
        <v>4168</v>
      </c>
      <c r="E594">
        <v>4656</v>
      </c>
      <c r="F594">
        <v>5121</v>
      </c>
      <c r="G594">
        <v>5567</v>
      </c>
    </row>
    <row r="595" spans="1:7" x14ac:dyDescent="0.2">
      <c r="A595">
        <v>29900</v>
      </c>
      <c r="B595">
        <v>2449</v>
      </c>
      <c r="C595">
        <v>3590</v>
      </c>
      <c r="D595">
        <v>4173</v>
      </c>
      <c r="E595">
        <v>4661</v>
      </c>
      <c r="F595">
        <v>5127</v>
      </c>
      <c r="G595">
        <v>5573</v>
      </c>
    </row>
    <row r="596" spans="1:7" x14ac:dyDescent="0.2">
      <c r="A596">
        <v>29950</v>
      </c>
      <c r="B596">
        <v>2452</v>
      </c>
      <c r="C596">
        <v>3595</v>
      </c>
      <c r="D596">
        <v>4178</v>
      </c>
      <c r="E596">
        <v>4667</v>
      </c>
      <c r="F596">
        <v>5133</v>
      </c>
      <c r="G596">
        <v>5580</v>
      </c>
    </row>
    <row r="597" spans="1:7" x14ac:dyDescent="0.2">
      <c r="A597">
        <v>30000</v>
      </c>
      <c r="B597">
        <v>2456</v>
      </c>
      <c r="C597">
        <v>3599</v>
      </c>
      <c r="D597">
        <v>4183</v>
      </c>
      <c r="E597">
        <v>4672</v>
      </c>
      <c r="F597">
        <v>5139</v>
      </c>
      <c r="G597">
        <v>5586</v>
      </c>
    </row>
  </sheetData>
  <sheetProtection sheet="1" objects="1" scenarios="1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7FA4-74E3-C24C-B6FE-1417E65AB623}">
  <sheetPr>
    <pageSetUpPr fitToPage="1"/>
  </sheetPr>
  <dimension ref="A1:F32"/>
  <sheetViews>
    <sheetView zoomScale="150" zoomScaleNormal="150" workbookViewId="0">
      <selection activeCell="G1" sqref="G1"/>
    </sheetView>
  </sheetViews>
  <sheetFormatPr baseColWidth="10" defaultRowHeight="16" x14ac:dyDescent="0.2"/>
  <cols>
    <col min="1" max="1" width="5.5" style="1" customWidth="1"/>
    <col min="2" max="2" width="24.6640625" customWidth="1"/>
    <col min="3" max="3" width="29.83203125" customWidth="1"/>
    <col min="4" max="4" width="14.6640625" customWidth="1"/>
    <col min="5" max="5" width="15.83203125" customWidth="1"/>
    <col min="6" max="6" width="21" customWidth="1"/>
  </cols>
  <sheetData>
    <row r="1" spans="1:6" ht="51" customHeight="1" thickBot="1" x14ac:dyDescent="0.25">
      <c r="A1" s="132" t="s">
        <v>68</v>
      </c>
      <c r="B1" s="133"/>
      <c r="C1" s="134" t="s">
        <v>55</v>
      </c>
      <c r="D1" s="135"/>
      <c r="E1" s="136"/>
      <c r="F1" s="6" t="s">
        <v>9</v>
      </c>
    </row>
    <row r="2" spans="1:6" ht="61" customHeight="1" thickBot="1" x14ac:dyDescent="0.25">
      <c r="A2" s="137" t="s">
        <v>65</v>
      </c>
      <c r="B2" s="138"/>
      <c r="C2" s="138"/>
      <c r="D2" s="138"/>
      <c r="E2" s="138"/>
      <c r="F2" s="139"/>
    </row>
    <row r="3" spans="1:6" ht="59" customHeight="1" thickTop="1" thickBot="1" x14ac:dyDescent="0.25">
      <c r="A3" s="140" t="s">
        <v>18</v>
      </c>
      <c r="B3" s="141"/>
      <c r="C3" s="141"/>
      <c r="D3" s="141"/>
      <c r="E3" s="141"/>
      <c r="F3" s="142"/>
    </row>
    <row r="4" spans="1:6" ht="18" customHeight="1" thickTop="1" x14ac:dyDescent="0.2">
      <c r="A4" s="143" t="s">
        <v>10</v>
      </c>
      <c r="B4" s="144"/>
      <c r="C4" s="33" t="s">
        <v>11</v>
      </c>
      <c r="D4" s="144" t="s">
        <v>10</v>
      </c>
      <c r="E4" s="144"/>
      <c r="F4" s="9" t="s">
        <v>11</v>
      </c>
    </row>
    <row r="5" spans="1:6" ht="20" customHeight="1" x14ac:dyDescent="0.2">
      <c r="A5" s="143"/>
      <c r="B5" s="144"/>
      <c r="C5" s="30"/>
      <c r="D5" s="145"/>
      <c r="E5" s="145"/>
      <c r="F5" s="10"/>
    </row>
    <row r="6" spans="1:6" ht="20" customHeight="1" x14ac:dyDescent="0.2">
      <c r="A6" s="143"/>
      <c r="B6" s="144"/>
      <c r="C6" s="30"/>
      <c r="D6" s="145"/>
      <c r="E6" s="145"/>
      <c r="F6" s="10"/>
    </row>
    <row r="7" spans="1:6" ht="20" customHeight="1" thickBot="1" x14ac:dyDescent="0.25">
      <c r="A7" s="146"/>
      <c r="B7" s="147"/>
      <c r="C7" s="31"/>
      <c r="D7" s="148"/>
      <c r="E7" s="148"/>
      <c r="F7" s="13"/>
    </row>
    <row r="8" spans="1:6" s="3" customFormat="1" ht="30" customHeight="1" thickTop="1" thickBot="1" x14ac:dyDescent="0.25">
      <c r="A8" s="14"/>
      <c r="B8" s="15"/>
      <c r="C8" s="15"/>
      <c r="D8" s="150" t="s">
        <v>14</v>
      </c>
      <c r="E8" s="151"/>
      <c r="F8" s="16"/>
    </row>
    <row r="9" spans="1:6" ht="17" thickTop="1" x14ac:dyDescent="0.2">
      <c r="A9" s="11" t="s">
        <v>4</v>
      </c>
      <c r="B9" s="152" t="s">
        <v>13</v>
      </c>
      <c r="C9" s="153"/>
      <c r="D9" s="7" t="s">
        <v>1</v>
      </c>
      <c r="E9" s="7" t="s">
        <v>2</v>
      </c>
      <c r="F9" s="12" t="s">
        <v>3</v>
      </c>
    </row>
    <row r="10" spans="1:6" ht="26" customHeight="1" x14ac:dyDescent="0.2">
      <c r="A10" s="11">
        <v>1</v>
      </c>
      <c r="B10" s="149" t="s">
        <v>15</v>
      </c>
      <c r="C10" s="149"/>
      <c r="D10" s="17" t="s">
        <v>19</v>
      </c>
      <c r="E10" s="17" t="s">
        <v>19</v>
      </c>
      <c r="F10" s="18" t="s">
        <v>19</v>
      </c>
    </row>
    <row r="11" spans="1:6" ht="22" customHeight="1" x14ac:dyDescent="0.2">
      <c r="A11" s="11" t="s">
        <v>5</v>
      </c>
      <c r="B11" s="149" t="s">
        <v>56</v>
      </c>
      <c r="C11" s="149"/>
      <c r="D11" s="19" t="s">
        <v>20</v>
      </c>
      <c r="E11" s="19" t="s">
        <v>20</v>
      </c>
      <c r="F11" s="20" t="s">
        <v>20</v>
      </c>
    </row>
    <row r="12" spans="1:6" ht="23" customHeight="1" x14ac:dyDescent="0.2">
      <c r="A12" s="11" t="s">
        <v>6</v>
      </c>
      <c r="B12" s="149" t="s">
        <v>57</v>
      </c>
      <c r="C12" s="149"/>
      <c r="D12" s="19" t="s">
        <v>20</v>
      </c>
      <c r="E12" s="19" t="s">
        <v>20</v>
      </c>
      <c r="F12" s="20" t="s">
        <v>20</v>
      </c>
    </row>
    <row r="13" spans="1:6" ht="35" customHeight="1" x14ac:dyDescent="0.2">
      <c r="A13" s="11">
        <v>2</v>
      </c>
      <c r="B13" s="154" t="s">
        <v>16</v>
      </c>
      <c r="C13" s="149"/>
      <c r="D13" s="21" t="s">
        <v>19</v>
      </c>
      <c r="E13" s="21" t="s">
        <v>19</v>
      </c>
      <c r="F13" s="20" t="s">
        <v>19</v>
      </c>
    </row>
    <row r="14" spans="1:6" ht="34" customHeight="1" x14ac:dyDescent="0.2">
      <c r="A14" s="11">
        <v>3</v>
      </c>
      <c r="B14" s="155" t="s">
        <v>17</v>
      </c>
      <c r="C14" s="156"/>
      <c r="D14" s="22" t="s">
        <v>21</v>
      </c>
      <c r="E14" s="22" t="s">
        <v>21</v>
      </c>
      <c r="F14" s="23">
        <v>1</v>
      </c>
    </row>
    <row r="15" spans="1:6" ht="37" customHeight="1" x14ac:dyDescent="0.2">
      <c r="A15" s="11">
        <v>4</v>
      </c>
      <c r="B15" s="154" t="s">
        <v>69</v>
      </c>
      <c r="C15" s="149"/>
      <c r="D15" s="24"/>
      <c r="E15" s="24"/>
      <c r="F15" s="25" t="s">
        <v>19</v>
      </c>
    </row>
    <row r="16" spans="1:6" ht="27" customHeight="1" x14ac:dyDescent="0.2">
      <c r="A16" s="11">
        <v>5</v>
      </c>
      <c r="B16" s="149" t="s">
        <v>24</v>
      </c>
      <c r="C16" s="149"/>
      <c r="D16" s="19" t="s">
        <v>19</v>
      </c>
      <c r="E16" s="19" t="s">
        <v>19</v>
      </c>
      <c r="F16" s="26" t="s">
        <v>22</v>
      </c>
    </row>
    <row r="17" spans="1:6" ht="26" customHeight="1" x14ac:dyDescent="0.2">
      <c r="A17" s="11">
        <v>6</v>
      </c>
      <c r="B17" s="149" t="s">
        <v>25</v>
      </c>
      <c r="C17" s="149"/>
      <c r="D17" s="19" t="s">
        <v>19</v>
      </c>
      <c r="E17" s="19" t="s">
        <v>19</v>
      </c>
      <c r="F17" s="26" t="s">
        <v>22</v>
      </c>
    </row>
    <row r="18" spans="1:6" ht="35" customHeight="1" x14ac:dyDescent="0.2">
      <c r="A18" s="11">
        <v>7</v>
      </c>
      <c r="B18" s="154" t="s">
        <v>26</v>
      </c>
      <c r="C18" s="149"/>
      <c r="D18" s="24"/>
      <c r="E18" s="24"/>
      <c r="F18" s="25" t="s">
        <v>19</v>
      </c>
    </row>
    <row r="19" spans="1:6" ht="27" customHeight="1" x14ac:dyDescent="0.2">
      <c r="A19" s="11">
        <v>8</v>
      </c>
      <c r="B19" s="149" t="s">
        <v>70</v>
      </c>
      <c r="C19" s="149"/>
      <c r="D19" s="21" t="s">
        <v>19</v>
      </c>
      <c r="E19" s="21" t="s">
        <v>19</v>
      </c>
      <c r="F19" s="27"/>
    </row>
    <row r="20" spans="1:6" ht="26" customHeight="1" x14ac:dyDescent="0.2">
      <c r="A20" s="11">
        <v>9</v>
      </c>
      <c r="B20" s="149" t="s">
        <v>30</v>
      </c>
      <c r="C20" s="149"/>
      <c r="D20" s="19" t="s">
        <v>20</v>
      </c>
      <c r="E20" s="19" t="s">
        <v>20</v>
      </c>
      <c r="F20" s="28"/>
    </row>
    <row r="21" spans="1:6" ht="38" customHeight="1" x14ac:dyDescent="0.2">
      <c r="A21" s="11">
        <v>10</v>
      </c>
      <c r="B21" s="163" t="s">
        <v>29</v>
      </c>
      <c r="C21" s="164"/>
      <c r="D21" s="21" t="s">
        <v>19</v>
      </c>
      <c r="E21" s="21" t="s">
        <v>19</v>
      </c>
      <c r="F21" s="28"/>
    </row>
    <row r="22" spans="1:6" ht="32" customHeight="1" x14ac:dyDescent="0.2">
      <c r="A22" s="11"/>
      <c r="B22" s="165" t="s">
        <v>62</v>
      </c>
      <c r="C22" s="165"/>
      <c r="D22" s="21"/>
      <c r="E22" s="21"/>
      <c r="F22" s="28"/>
    </row>
    <row r="23" spans="1:6" ht="37" customHeight="1" x14ac:dyDescent="0.2">
      <c r="A23" s="11">
        <v>11</v>
      </c>
      <c r="B23" s="163" t="s">
        <v>28</v>
      </c>
      <c r="C23" s="164"/>
      <c r="D23" s="21" t="s">
        <v>19</v>
      </c>
      <c r="E23" s="21" t="s">
        <v>19</v>
      </c>
      <c r="F23" s="28"/>
    </row>
    <row r="24" spans="1:6" ht="36" customHeight="1" x14ac:dyDescent="0.2">
      <c r="A24" s="11">
        <v>12</v>
      </c>
      <c r="B24" s="163" t="s">
        <v>23</v>
      </c>
      <c r="C24" s="164"/>
      <c r="D24" s="21" t="s">
        <v>19</v>
      </c>
      <c r="E24" s="21" t="s">
        <v>19</v>
      </c>
      <c r="F24" s="28"/>
    </row>
    <row r="25" spans="1:6" ht="31" customHeight="1" x14ac:dyDescent="0.2">
      <c r="A25" s="11"/>
      <c r="B25" s="165" t="s">
        <v>63</v>
      </c>
      <c r="C25" s="165"/>
      <c r="D25" s="21"/>
      <c r="E25" s="21"/>
      <c r="F25" s="28"/>
    </row>
    <row r="26" spans="1:6" ht="35" customHeight="1" x14ac:dyDescent="0.2">
      <c r="A26" s="11">
        <v>13</v>
      </c>
      <c r="B26" s="154" t="s">
        <v>27</v>
      </c>
      <c r="C26" s="149"/>
      <c r="D26" s="29" t="s">
        <v>19</v>
      </c>
      <c r="E26" s="29" t="s">
        <v>19</v>
      </c>
      <c r="F26" s="28"/>
    </row>
    <row r="27" spans="1:6" ht="26" customHeight="1" x14ac:dyDescent="0.2">
      <c r="A27" s="157" t="s">
        <v>0</v>
      </c>
      <c r="B27" s="158"/>
      <c r="C27" s="158"/>
      <c r="D27" s="4"/>
      <c r="E27" s="4"/>
      <c r="F27" s="5"/>
    </row>
    <row r="28" spans="1:6" ht="23" customHeight="1" x14ac:dyDescent="0.2">
      <c r="A28" s="159"/>
      <c r="B28" s="160"/>
      <c r="C28" s="160"/>
      <c r="D28" s="4"/>
      <c r="E28" s="4"/>
      <c r="F28" s="5"/>
    </row>
    <row r="29" spans="1:6" ht="25" customHeight="1" thickBot="1" x14ac:dyDescent="0.25">
      <c r="A29" s="161" t="s">
        <v>7</v>
      </c>
      <c r="B29" s="162"/>
      <c r="C29" s="162"/>
      <c r="D29" s="32"/>
      <c r="E29" s="32" t="s">
        <v>12</v>
      </c>
      <c r="F29" s="8"/>
    </row>
    <row r="32" spans="1:6" ht="27" customHeight="1" x14ac:dyDescent="0.2"/>
  </sheetData>
  <sheetProtection sheet="1" objects="1" scenarios="1"/>
  <mergeCells count="34">
    <mergeCell ref="B26:C26"/>
    <mergeCell ref="A27:C27"/>
    <mergeCell ref="A28:C28"/>
    <mergeCell ref="A29:C29"/>
    <mergeCell ref="B20:C20"/>
    <mergeCell ref="B21:C21"/>
    <mergeCell ref="B22:C22"/>
    <mergeCell ref="B23:C23"/>
    <mergeCell ref="B24:C24"/>
    <mergeCell ref="B25:C25"/>
    <mergeCell ref="B19:C19"/>
    <mergeCell ref="D8:E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5:B5"/>
    <mergeCell ref="D5:E5"/>
    <mergeCell ref="A6:B6"/>
    <mergeCell ref="D6:E6"/>
    <mergeCell ref="A7:B7"/>
    <mergeCell ref="D7:E7"/>
    <mergeCell ref="A1:B1"/>
    <mergeCell ref="C1:E1"/>
    <mergeCell ref="A2:F2"/>
    <mergeCell ref="A3:F3"/>
    <mergeCell ref="A4:B4"/>
    <mergeCell ref="D4:E4"/>
  </mergeCells>
  <printOptions horizontalCentered="1" verticalCentered="1"/>
  <pageMargins left="0.5" right="0.5" top="0.5" bottom="0.5" header="0.3" footer="0.3"/>
  <pageSetup scale="8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Form CS-42 Worksheet</vt:lpstr>
      <vt:lpstr>AL Realigned Sept 2021</vt:lpstr>
      <vt:lpstr>PDF PRINT Form CS-42 Worksheet</vt:lpstr>
      <vt:lpstr>'Form CS-42 Worksheet'!Print_Area</vt:lpstr>
      <vt:lpstr>'PDF PRINT Form CS-42 Worksheet'!Print_Area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2022-05-25T22:26:07Z</cp:lastPrinted>
  <dcterms:created xsi:type="dcterms:W3CDTF">2021-09-06T20:19:58Z</dcterms:created>
  <dcterms:modified xsi:type="dcterms:W3CDTF">2022-05-25T22:40:35Z</dcterms:modified>
</cp:coreProperties>
</file>